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830" codeName="{60716B99-48EF-4627-542C-1B4CF24DBC83}"/>
  <workbookPr codeName="DieseArbeitsmappe"/>
  <mc:AlternateContent xmlns:mc="http://schemas.openxmlformats.org/markup-compatibility/2006">
    <mc:Choice Requires="x15">
      <x15ac:absPath xmlns:x15ac="http://schemas.microsoft.com/office/spreadsheetml/2010/11/ac" url="\\files.testberlin.de\home\NRadchuk\Documents\Buchhaltung\Neuer Ordner\Rechnungspruefung\templates\"/>
    </mc:Choice>
  </mc:AlternateContent>
  <xr:revisionPtr revIDLastSave="0" documentId="13_ncr:1_{0817424C-5BBB-4C0E-A043-7A435D8111C3}" xr6:coauthVersionLast="47" xr6:coauthVersionMax="47" xr10:uidLastSave="{00000000-0000-0000-0000-000000000000}"/>
  <bookViews>
    <workbookView xWindow="-1065" yWindow="-16320" windowWidth="29040" windowHeight="15720" activeTab="2" xr2:uid="{00000000-000D-0000-FFFF-FFFF00000000}"/>
  </bookViews>
  <sheets>
    <sheet name="Buchungsbeleg" sheetId="3" r:id="rId1"/>
    <sheet name="Prüf" sheetId="4" r:id="rId2"/>
    <sheet name="SR Lt. AM" sheetId="1" r:id="rId3"/>
    <sheet name="Gesamt pro Res." sheetId="5" r:id="rId4"/>
    <sheet name="Anleitungen" sheetId="2" r:id="rId5"/>
    <sheet name="Stammdaten für Auswahl" sheetId="6" state="hidden" r:id="rId6"/>
  </sheets>
  <definedNames>
    <definedName name="_xlnm._FilterDatabase" localSheetId="2" hidden="1">'SR Lt. AM'!$A$10:$Z$151</definedName>
    <definedName name="_xlnm.Print_Area" localSheetId="0">Buchungsbeleg!$A$1:$H$22</definedName>
    <definedName name="_xlnm.Print_Titles" localSheetId="1">Prüf!$1:$1</definedName>
    <definedName name="Firma">'Stammdaten für Auswahl'!$A$2:$A$5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3" i="1" l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AB13" i="1"/>
  <c r="AC13" i="1"/>
  <c r="AD13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AB14" i="1"/>
  <c r="AC14" i="1"/>
  <c r="AD14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AC17" i="1"/>
  <c r="AD17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AD19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AB21" i="1"/>
  <c r="AC21" i="1"/>
  <c r="AD21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AD23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AC24" i="1"/>
  <c r="AD24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AB25" i="1"/>
  <c r="AC25" i="1"/>
  <c r="AD25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AD28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AB30" i="1"/>
  <c r="AC30" i="1"/>
  <c r="AD30" i="1"/>
  <c r="L31" i="1"/>
  <c r="M31" i="1"/>
  <c r="N31" i="1"/>
  <c r="O31" i="1"/>
  <c r="P31" i="1"/>
  <c r="Q31" i="1"/>
  <c r="R31" i="1"/>
  <c r="S31" i="1"/>
  <c r="T31" i="1"/>
  <c r="U31" i="1"/>
  <c r="V31" i="1"/>
  <c r="W31" i="1"/>
  <c r="X31" i="1"/>
  <c r="Y31" i="1"/>
  <c r="Z31" i="1"/>
  <c r="AA31" i="1"/>
  <c r="AB31" i="1"/>
  <c r="AC31" i="1"/>
  <c r="AD31" i="1"/>
  <c r="L32" i="1"/>
  <c r="M32" i="1"/>
  <c r="N32" i="1"/>
  <c r="O32" i="1"/>
  <c r="P32" i="1"/>
  <c r="Q32" i="1"/>
  <c r="R32" i="1"/>
  <c r="S32" i="1"/>
  <c r="T32" i="1"/>
  <c r="U32" i="1"/>
  <c r="V32" i="1"/>
  <c r="W32" i="1"/>
  <c r="X32" i="1"/>
  <c r="Y32" i="1"/>
  <c r="Z32" i="1"/>
  <c r="AA32" i="1"/>
  <c r="AB32" i="1"/>
  <c r="AC32" i="1"/>
  <c r="AD32" i="1"/>
  <c r="L33" i="1"/>
  <c r="M33" i="1"/>
  <c r="N33" i="1"/>
  <c r="O33" i="1"/>
  <c r="P33" i="1"/>
  <c r="Q33" i="1"/>
  <c r="R33" i="1"/>
  <c r="S33" i="1"/>
  <c r="T33" i="1"/>
  <c r="U33" i="1"/>
  <c r="V33" i="1"/>
  <c r="W33" i="1"/>
  <c r="X33" i="1"/>
  <c r="Y33" i="1"/>
  <c r="Z33" i="1"/>
  <c r="AA33" i="1"/>
  <c r="AB33" i="1"/>
  <c r="AC33" i="1"/>
  <c r="AD33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Z34" i="1"/>
  <c r="AA34" i="1"/>
  <c r="AB34" i="1"/>
  <c r="AC34" i="1"/>
  <c r="AD34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A36" i="1"/>
  <c r="AB36" i="1"/>
  <c r="AC36" i="1"/>
  <c r="AD36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AB37" i="1"/>
  <c r="AC37" i="1"/>
  <c r="AD37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L39" i="1"/>
  <c r="M39" i="1"/>
  <c r="N39" i="1"/>
  <c r="O39" i="1"/>
  <c r="P39" i="1"/>
  <c r="Q39" i="1"/>
  <c r="R39" i="1"/>
  <c r="S39" i="1"/>
  <c r="T39" i="1"/>
  <c r="U39" i="1"/>
  <c r="V39" i="1"/>
  <c r="W39" i="1"/>
  <c r="X39" i="1"/>
  <c r="Y39" i="1"/>
  <c r="Z39" i="1"/>
  <c r="AA39" i="1"/>
  <c r="AB39" i="1"/>
  <c r="AC39" i="1"/>
  <c r="AD39" i="1"/>
  <c r="L40" i="1"/>
  <c r="M40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AA40" i="1"/>
  <c r="AB40" i="1"/>
  <c r="AC40" i="1"/>
  <c r="AD40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L67" i="1"/>
  <c r="M67" i="1"/>
  <c r="N67" i="1"/>
  <c r="O67" i="1"/>
  <c r="P67" i="1"/>
  <c r="Q67" i="1"/>
  <c r="R67" i="1"/>
  <c r="S67" i="1"/>
  <c r="T67" i="1"/>
  <c r="U67" i="1"/>
  <c r="V67" i="1"/>
  <c r="W67" i="1"/>
  <c r="X67" i="1"/>
  <c r="Y67" i="1"/>
  <c r="Z67" i="1"/>
  <c r="AA67" i="1"/>
  <c r="AB67" i="1"/>
  <c r="AC67" i="1"/>
  <c r="AD67" i="1"/>
  <c r="L68" i="1"/>
  <c r="M68" i="1"/>
  <c r="N68" i="1"/>
  <c r="O68" i="1"/>
  <c r="P68" i="1"/>
  <c r="Q68" i="1"/>
  <c r="R68" i="1"/>
  <c r="S68" i="1"/>
  <c r="T68" i="1"/>
  <c r="U68" i="1"/>
  <c r="V68" i="1"/>
  <c r="W68" i="1"/>
  <c r="X68" i="1"/>
  <c r="Y68" i="1"/>
  <c r="Z68" i="1"/>
  <c r="AA68" i="1"/>
  <c r="AB68" i="1"/>
  <c r="AC68" i="1"/>
  <c r="AD68" i="1"/>
  <c r="L69" i="1"/>
  <c r="M69" i="1"/>
  <c r="N69" i="1"/>
  <c r="O69" i="1"/>
  <c r="P69" i="1"/>
  <c r="Q69" i="1"/>
  <c r="R69" i="1"/>
  <c r="S69" i="1"/>
  <c r="T69" i="1"/>
  <c r="U69" i="1"/>
  <c r="V69" i="1"/>
  <c r="W69" i="1"/>
  <c r="X69" i="1"/>
  <c r="Y69" i="1"/>
  <c r="Z69" i="1"/>
  <c r="AA69" i="1"/>
  <c r="AB69" i="1"/>
  <c r="AC69" i="1"/>
  <c r="AD69" i="1"/>
  <c r="L70" i="1"/>
  <c r="M70" i="1"/>
  <c r="N70" i="1"/>
  <c r="O70" i="1"/>
  <c r="P70" i="1"/>
  <c r="Q70" i="1"/>
  <c r="R70" i="1"/>
  <c r="S70" i="1"/>
  <c r="T70" i="1"/>
  <c r="U70" i="1"/>
  <c r="V70" i="1"/>
  <c r="W70" i="1"/>
  <c r="X70" i="1"/>
  <c r="Y70" i="1"/>
  <c r="Z70" i="1"/>
  <c r="AA70" i="1"/>
  <c r="AB70" i="1"/>
  <c r="AC70" i="1"/>
  <c r="AD70" i="1"/>
  <c r="L71" i="1"/>
  <c r="M71" i="1"/>
  <c r="N71" i="1"/>
  <c r="O71" i="1"/>
  <c r="P71" i="1"/>
  <c r="Q71" i="1"/>
  <c r="R71" i="1"/>
  <c r="S71" i="1"/>
  <c r="T71" i="1"/>
  <c r="U71" i="1"/>
  <c r="V71" i="1"/>
  <c r="W71" i="1"/>
  <c r="X71" i="1"/>
  <c r="Y71" i="1"/>
  <c r="Z71" i="1"/>
  <c r="AA71" i="1"/>
  <c r="AB71" i="1"/>
  <c r="AC71" i="1"/>
  <c r="AD71" i="1"/>
  <c r="L72" i="1"/>
  <c r="M72" i="1"/>
  <c r="N72" i="1"/>
  <c r="O72" i="1"/>
  <c r="P72" i="1"/>
  <c r="Q72" i="1"/>
  <c r="R72" i="1"/>
  <c r="S72" i="1"/>
  <c r="T72" i="1"/>
  <c r="U72" i="1"/>
  <c r="V72" i="1"/>
  <c r="W72" i="1"/>
  <c r="X72" i="1"/>
  <c r="Y72" i="1"/>
  <c r="Z72" i="1"/>
  <c r="AA72" i="1"/>
  <c r="AB72" i="1"/>
  <c r="AC72" i="1"/>
  <c r="AD72" i="1"/>
  <c r="L73" i="1"/>
  <c r="M73" i="1"/>
  <c r="N73" i="1"/>
  <c r="O73" i="1"/>
  <c r="P73" i="1"/>
  <c r="Q73" i="1"/>
  <c r="R73" i="1"/>
  <c r="S73" i="1"/>
  <c r="T73" i="1"/>
  <c r="U73" i="1"/>
  <c r="V73" i="1"/>
  <c r="W73" i="1"/>
  <c r="X73" i="1"/>
  <c r="Y73" i="1"/>
  <c r="Z73" i="1"/>
  <c r="AA73" i="1"/>
  <c r="AB73" i="1"/>
  <c r="AC73" i="1"/>
  <c r="AD73" i="1"/>
  <c r="L74" i="1"/>
  <c r="M74" i="1"/>
  <c r="N74" i="1"/>
  <c r="O74" i="1"/>
  <c r="P74" i="1"/>
  <c r="Q74" i="1"/>
  <c r="R74" i="1"/>
  <c r="S74" i="1"/>
  <c r="T74" i="1"/>
  <c r="U74" i="1"/>
  <c r="V74" i="1"/>
  <c r="W74" i="1"/>
  <c r="X74" i="1"/>
  <c r="Y74" i="1"/>
  <c r="Z74" i="1"/>
  <c r="AA74" i="1"/>
  <c r="AB74" i="1"/>
  <c r="AC74" i="1"/>
  <c r="AD74" i="1"/>
  <c r="L75" i="1"/>
  <c r="M75" i="1"/>
  <c r="N75" i="1"/>
  <c r="O75" i="1"/>
  <c r="P75" i="1"/>
  <c r="Q75" i="1"/>
  <c r="R75" i="1"/>
  <c r="S75" i="1"/>
  <c r="T75" i="1"/>
  <c r="U75" i="1"/>
  <c r="V75" i="1"/>
  <c r="W75" i="1"/>
  <c r="X75" i="1"/>
  <c r="Y75" i="1"/>
  <c r="Z75" i="1"/>
  <c r="AA75" i="1"/>
  <c r="AB75" i="1"/>
  <c r="AC75" i="1"/>
  <c r="AD75" i="1"/>
  <c r="L76" i="1"/>
  <c r="M76" i="1"/>
  <c r="N76" i="1"/>
  <c r="O76" i="1"/>
  <c r="P76" i="1"/>
  <c r="Q76" i="1"/>
  <c r="R76" i="1"/>
  <c r="S76" i="1"/>
  <c r="T76" i="1"/>
  <c r="U76" i="1"/>
  <c r="V76" i="1"/>
  <c r="W76" i="1"/>
  <c r="X76" i="1"/>
  <c r="Y76" i="1"/>
  <c r="Z76" i="1"/>
  <c r="AA76" i="1"/>
  <c r="AB76" i="1"/>
  <c r="AC76" i="1"/>
  <c r="AD76" i="1"/>
  <c r="L77" i="1"/>
  <c r="M77" i="1"/>
  <c r="N77" i="1"/>
  <c r="O77" i="1"/>
  <c r="P77" i="1"/>
  <c r="Q77" i="1"/>
  <c r="R77" i="1"/>
  <c r="S77" i="1"/>
  <c r="T77" i="1"/>
  <c r="U77" i="1"/>
  <c r="V77" i="1"/>
  <c r="W77" i="1"/>
  <c r="X77" i="1"/>
  <c r="Y77" i="1"/>
  <c r="Z77" i="1"/>
  <c r="AA77" i="1"/>
  <c r="AB77" i="1"/>
  <c r="AC77" i="1"/>
  <c r="AD77" i="1"/>
  <c r="L78" i="1"/>
  <c r="M78" i="1"/>
  <c r="N78" i="1"/>
  <c r="O78" i="1"/>
  <c r="P78" i="1"/>
  <c r="Q78" i="1"/>
  <c r="R78" i="1"/>
  <c r="S78" i="1"/>
  <c r="T78" i="1"/>
  <c r="U78" i="1"/>
  <c r="V78" i="1"/>
  <c r="W78" i="1"/>
  <c r="X78" i="1"/>
  <c r="Y78" i="1"/>
  <c r="Z78" i="1"/>
  <c r="AA78" i="1"/>
  <c r="AB78" i="1"/>
  <c r="AC78" i="1"/>
  <c r="AD78" i="1"/>
  <c r="L79" i="1"/>
  <c r="M79" i="1"/>
  <c r="N79" i="1"/>
  <c r="O79" i="1"/>
  <c r="P79" i="1"/>
  <c r="Q79" i="1"/>
  <c r="R79" i="1"/>
  <c r="S79" i="1"/>
  <c r="T79" i="1"/>
  <c r="U79" i="1"/>
  <c r="V79" i="1"/>
  <c r="W79" i="1"/>
  <c r="X79" i="1"/>
  <c r="Y79" i="1"/>
  <c r="Z79" i="1"/>
  <c r="AA79" i="1"/>
  <c r="AB79" i="1"/>
  <c r="AC79" i="1"/>
  <c r="AD79" i="1"/>
  <c r="L80" i="1"/>
  <c r="M80" i="1"/>
  <c r="N80" i="1"/>
  <c r="O80" i="1"/>
  <c r="P80" i="1"/>
  <c r="Q80" i="1"/>
  <c r="R80" i="1"/>
  <c r="S80" i="1"/>
  <c r="T80" i="1"/>
  <c r="U80" i="1"/>
  <c r="V80" i="1"/>
  <c r="W80" i="1"/>
  <c r="X80" i="1"/>
  <c r="Y80" i="1"/>
  <c r="Z80" i="1"/>
  <c r="AA80" i="1"/>
  <c r="AB80" i="1"/>
  <c r="AC80" i="1"/>
  <c r="AD80" i="1"/>
  <c r="L81" i="1"/>
  <c r="M81" i="1"/>
  <c r="N81" i="1"/>
  <c r="O81" i="1"/>
  <c r="P81" i="1"/>
  <c r="Q81" i="1"/>
  <c r="R81" i="1"/>
  <c r="S81" i="1"/>
  <c r="T81" i="1"/>
  <c r="U81" i="1"/>
  <c r="V81" i="1"/>
  <c r="W81" i="1"/>
  <c r="X81" i="1"/>
  <c r="Y81" i="1"/>
  <c r="Z81" i="1"/>
  <c r="AA81" i="1"/>
  <c r="AB81" i="1"/>
  <c r="AC81" i="1"/>
  <c r="AD81" i="1"/>
  <c r="L82" i="1"/>
  <c r="M82" i="1"/>
  <c r="N82" i="1"/>
  <c r="O82" i="1"/>
  <c r="P82" i="1"/>
  <c r="Q82" i="1"/>
  <c r="R82" i="1"/>
  <c r="S82" i="1"/>
  <c r="T82" i="1"/>
  <c r="U82" i="1"/>
  <c r="V82" i="1"/>
  <c r="W82" i="1"/>
  <c r="X82" i="1"/>
  <c r="Y82" i="1"/>
  <c r="Z82" i="1"/>
  <c r="AA82" i="1"/>
  <c r="AB82" i="1"/>
  <c r="AC82" i="1"/>
  <c r="AD82" i="1"/>
  <c r="L83" i="1"/>
  <c r="M83" i="1"/>
  <c r="N83" i="1"/>
  <c r="O83" i="1"/>
  <c r="P83" i="1"/>
  <c r="Q83" i="1"/>
  <c r="R83" i="1"/>
  <c r="S83" i="1"/>
  <c r="T83" i="1"/>
  <c r="U83" i="1"/>
  <c r="V83" i="1"/>
  <c r="W83" i="1"/>
  <c r="X83" i="1"/>
  <c r="Y83" i="1"/>
  <c r="Z83" i="1"/>
  <c r="AA83" i="1"/>
  <c r="AB83" i="1"/>
  <c r="AC83" i="1"/>
  <c r="AD83" i="1"/>
  <c r="L84" i="1"/>
  <c r="M84" i="1"/>
  <c r="N84" i="1"/>
  <c r="O84" i="1"/>
  <c r="P84" i="1"/>
  <c r="Q84" i="1"/>
  <c r="R84" i="1"/>
  <c r="S84" i="1"/>
  <c r="T84" i="1"/>
  <c r="U84" i="1"/>
  <c r="V84" i="1"/>
  <c r="W84" i="1"/>
  <c r="X84" i="1"/>
  <c r="Y84" i="1"/>
  <c r="Z84" i="1"/>
  <c r="AA84" i="1"/>
  <c r="AB84" i="1"/>
  <c r="AC84" i="1"/>
  <c r="AD84" i="1"/>
  <c r="L85" i="1"/>
  <c r="M85" i="1"/>
  <c r="N85" i="1"/>
  <c r="O85" i="1"/>
  <c r="P85" i="1"/>
  <c r="Q85" i="1"/>
  <c r="R85" i="1"/>
  <c r="S85" i="1"/>
  <c r="T85" i="1"/>
  <c r="U85" i="1"/>
  <c r="V85" i="1"/>
  <c r="W85" i="1"/>
  <c r="X85" i="1"/>
  <c r="Y85" i="1"/>
  <c r="Z85" i="1"/>
  <c r="AA85" i="1"/>
  <c r="AB85" i="1"/>
  <c r="AC85" i="1"/>
  <c r="AD85" i="1"/>
  <c r="L86" i="1"/>
  <c r="M86" i="1"/>
  <c r="N86" i="1"/>
  <c r="O86" i="1"/>
  <c r="P86" i="1"/>
  <c r="Q86" i="1"/>
  <c r="R86" i="1"/>
  <c r="S86" i="1"/>
  <c r="T86" i="1"/>
  <c r="U86" i="1"/>
  <c r="V86" i="1"/>
  <c r="W86" i="1"/>
  <c r="X86" i="1"/>
  <c r="Y86" i="1"/>
  <c r="Z86" i="1"/>
  <c r="AA86" i="1"/>
  <c r="AB86" i="1"/>
  <c r="AC86" i="1"/>
  <c r="AD86" i="1"/>
  <c r="L87" i="1"/>
  <c r="M87" i="1"/>
  <c r="N87" i="1"/>
  <c r="O87" i="1"/>
  <c r="P87" i="1"/>
  <c r="Q87" i="1"/>
  <c r="R87" i="1"/>
  <c r="S87" i="1"/>
  <c r="T87" i="1"/>
  <c r="U87" i="1"/>
  <c r="V87" i="1"/>
  <c r="W87" i="1"/>
  <c r="X87" i="1"/>
  <c r="Y87" i="1"/>
  <c r="Z87" i="1"/>
  <c r="AA87" i="1"/>
  <c r="AB87" i="1"/>
  <c r="AC87" i="1"/>
  <c r="AD87" i="1"/>
  <c r="L88" i="1"/>
  <c r="M88" i="1"/>
  <c r="N88" i="1"/>
  <c r="O88" i="1"/>
  <c r="P88" i="1"/>
  <c r="Q88" i="1"/>
  <c r="R88" i="1"/>
  <c r="S88" i="1"/>
  <c r="T88" i="1"/>
  <c r="U88" i="1"/>
  <c r="V88" i="1"/>
  <c r="W88" i="1"/>
  <c r="X88" i="1"/>
  <c r="Y88" i="1"/>
  <c r="Z88" i="1"/>
  <c r="AA88" i="1"/>
  <c r="AB88" i="1"/>
  <c r="AC88" i="1"/>
  <c r="AD88" i="1"/>
  <c r="L89" i="1"/>
  <c r="M89" i="1"/>
  <c r="N89" i="1"/>
  <c r="O89" i="1"/>
  <c r="P89" i="1"/>
  <c r="Q89" i="1"/>
  <c r="R89" i="1"/>
  <c r="S89" i="1"/>
  <c r="T89" i="1"/>
  <c r="U89" i="1"/>
  <c r="V89" i="1"/>
  <c r="W89" i="1"/>
  <c r="X89" i="1"/>
  <c r="Y89" i="1"/>
  <c r="Z89" i="1"/>
  <c r="AA89" i="1"/>
  <c r="AB89" i="1"/>
  <c r="AC89" i="1"/>
  <c r="AD89" i="1"/>
  <c r="L90" i="1"/>
  <c r="M90" i="1"/>
  <c r="N90" i="1"/>
  <c r="O90" i="1"/>
  <c r="P90" i="1"/>
  <c r="Q90" i="1"/>
  <c r="R90" i="1"/>
  <c r="S90" i="1"/>
  <c r="T90" i="1"/>
  <c r="U90" i="1"/>
  <c r="V90" i="1"/>
  <c r="W90" i="1"/>
  <c r="X90" i="1"/>
  <c r="Y90" i="1"/>
  <c r="Z90" i="1"/>
  <c r="AA90" i="1"/>
  <c r="AB90" i="1"/>
  <c r="AC90" i="1"/>
  <c r="AD90" i="1"/>
  <c r="L91" i="1"/>
  <c r="M91" i="1"/>
  <c r="N91" i="1"/>
  <c r="O91" i="1"/>
  <c r="P91" i="1"/>
  <c r="Q91" i="1"/>
  <c r="R91" i="1"/>
  <c r="S91" i="1"/>
  <c r="T91" i="1"/>
  <c r="U91" i="1"/>
  <c r="V91" i="1"/>
  <c r="W91" i="1"/>
  <c r="X91" i="1"/>
  <c r="Y91" i="1"/>
  <c r="Z91" i="1"/>
  <c r="AA91" i="1"/>
  <c r="AB91" i="1"/>
  <c r="AC91" i="1"/>
  <c r="AD91" i="1"/>
  <c r="L92" i="1"/>
  <c r="M92" i="1"/>
  <c r="N92" i="1"/>
  <c r="O92" i="1"/>
  <c r="P92" i="1"/>
  <c r="Q92" i="1"/>
  <c r="R92" i="1"/>
  <c r="S92" i="1"/>
  <c r="T92" i="1"/>
  <c r="U92" i="1"/>
  <c r="V92" i="1"/>
  <c r="W92" i="1"/>
  <c r="X92" i="1"/>
  <c r="Y92" i="1"/>
  <c r="Z92" i="1"/>
  <c r="AA92" i="1"/>
  <c r="AB92" i="1"/>
  <c r="AC92" i="1"/>
  <c r="AD92" i="1"/>
  <c r="L93" i="1"/>
  <c r="M93" i="1"/>
  <c r="N93" i="1"/>
  <c r="O93" i="1"/>
  <c r="P93" i="1"/>
  <c r="Q93" i="1"/>
  <c r="R93" i="1"/>
  <c r="S93" i="1"/>
  <c r="T93" i="1"/>
  <c r="U93" i="1"/>
  <c r="V93" i="1"/>
  <c r="W93" i="1"/>
  <c r="X93" i="1"/>
  <c r="Y93" i="1"/>
  <c r="Z93" i="1"/>
  <c r="AA93" i="1"/>
  <c r="AB93" i="1"/>
  <c r="AC93" i="1"/>
  <c r="AD93" i="1"/>
  <c r="L94" i="1"/>
  <c r="M94" i="1"/>
  <c r="N94" i="1"/>
  <c r="O94" i="1"/>
  <c r="P94" i="1"/>
  <c r="Q94" i="1"/>
  <c r="R94" i="1"/>
  <c r="S94" i="1"/>
  <c r="T94" i="1"/>
  <c r="U94" i="1"/>
  <c r="V94" i="1"/>
  <c r="W94" i="1"/>
  <c r="X94" i="1"/>
  <c r="Y94" i="1"/>
  <c r="Z94" i="1"/>
  <c r="AA94" i="1"/>
  <c r="AB94" i="1"/>
  <c r="AC94" i="1"/>
  <c r="AD94" i="1"/>
  <c r="L95" i="1"/>
  <c r="M95" i="1"/>
  <c r="N95" i="1"/>
  <c r="O95" i="1"/>
  <c r="P95" i="1"/>
  <c r="Q95" i="1"/>
  <c r="R95" i="1"/>
  <c r="S95" i="1"/>
  <c r="T95" i="1"/>
  <c r="U95" i="1"/>
  <c r="V95" i="1"/>
  <c r="W95" i="1"/>
  <c r="X95" i="1"/>
  <c r="Y95" i="1"/>
  <c r="Z95" i="1"/>
  <c r="AA95" i="1"/>
  <c r="AB95" i="1"/>
  <c r="AC95" i="1"/>
  <c r="AD95" i="1"/>
  <c r="L96" i="1"/>
  <c r="M96" i="1"/>
  <c r="N96" i="1"/>
  <c r="O96" i="1"/>
  <c r="P96" i="1"/>
  <c r="Q96" i="1"/>
  <c r="R96" i="1"/>
  <c r="S96" i="1"/>
  <c r="T96" i="1"/>
  <c r="U96" i="1"/>
  <c r="V96" i="1"/>
  <c r="W96" i="1"/>
  <c r="X96" i="1"/>
  <c r="Y96" i="1"/>
  <c r="Z96" i="1"/>
  <c r="AA96" i="1"/>
  <c r="AB96" i="1"/>
  <c r="AC96" i="1"/>
  <c r="AD96" i="1"/>
  <c r="L97" i="1"/>
  <c r="M97" i="1"/>
  <c r="N97" i="1"/>
  <c r="O97" i="1"/>
  <c r="P97" i="1"/>
  <c r="Q97" i="1"/>
  <c r="R97" i="1"/>
  <c r="S97" i="1"/>
  <c r="T97" i="1"/>
  <c r="U97" i="1"/>
  <c r="V97" i="1"/>
  <c r="W97" i="1"/>
  <c r="X97" i="1"/>
  <c r="Y97" i="1"/>
  <c r="Z97" i="1"/>
  <c r="AA97" i="1"/>
  <c r="AB97" i="1"/>
  <c r="AC97" i="1"/>
  <c r="AD97" i="1"/>
  <c r="L98" i="1"/>
  <c r="M98" i="1"/>
  <c r="N98" i="1"/>
  <c r="O98" i="1"/>
  <c r="P98" i="1"/>
  <c r="Q98" i="1"/>
  <c r="R98" i="1"/>
  <c r="S98" i="1"/>
  <c r="T98" i="1"/>
  <c r="U98" i="1"/>
  <c r="V98" i="1"/>
  <c r="W98" i="1"/>
  <c r="X98" i="1"/>
  <c r="Y98" i="1"/>
  <c r="Z98" i="1"/>
  <c r="AA98" i="1"/>
  <c r="AB98" i="1"/>
  <c r="AC98" i="1"/>
  <c r="AD98" i="1"/>
  <c r="L99" i="1"/>
  <c r="M99" i="1"/>
  <c r="N99" i="1"/>
  <c r="O99" i="1"/>
  <c r="P99" i="1"/>
  <c r="Q99" i="1"/>
  <c r="R99" i="1"/>
  <c r="S99" i="1"/>
  <c r="T99" i="1"/>
  <c r="U99" i="1"/>
  <c r="V99" i="1"/>
  <c r="W99" i="1"/>
  <c r="X99" i="1"/>
  <c r="Y99" i="1"/>
  <c r="Z99" i="1"/>
  <c r="AA99" i="1"/>
  <c r="AB99" i="1"/>
  <c r="AC99" i="1"/>
  <c r="AD99" i="1"/>
  <c r="L100" i="1"/>
  <c r="M100" i="1"/>
  <c r="N100" i="1"/>
  <c r="O100" i="1"/>
  <c r="P100" i="1"/>
  <c r="Q100" i="1"/>
  <c r="R100" i="1"/>
  <c r="S100" i="1"/>
  <c r="T100" i="1"/>
  <c r="U100" i="1"/>
  <c r="V100" i="1"/>
  <c r="W100" i="1"/>
  <c r="X100" i="1"/>
  <c r="Y100" i="1"/>
  <c r="Z100" i="1"/>
  <c r="AA100" i="1"/>
  <c r="AB100" i="1"/>
  <c r="AC100" i="1"/>
  <c r="AD100" i="1"/>
  <c r="L101" i="1"/>
  <c r="M101" i="1"/>
  <c r="N101" i="1"/>
  <c r="O101" i="1"/>
  <c r="P101" i="1"/>
  <c r="Q101" i="1"/>
  <c r="R101" i="1"/>
  <c r="S101" i="1"/>
  <c r="T101" i="1"/>
  <c r="U101" i="1"/>
  <c r="V101" i="1"/>
  <c r="W101" i="1"/>
  <c r="X101" i="1"/>
  <c r="Y101" i="1"/>
  <c r="Z101" i="1"/>
  <c r="AA101" i="1"/>
  <c r="AB101" i="1"/>
  <c r="AC101" i="1"/>
  <c r="AD101" i="1"/>
  <c r="L102" i="1"/>
  <c r="M102" i="1"/>
  <c r="N102" i="1"/>
  <c r="O102" i="1"/>
  <c r="P102" i="1"/>
  <c r="Q102" i="1"/>
  <c r="R102" i="1"/>
  <c r="S102" i="1"/>
  <c r="T102" i="1"/>
  <c r="U102" i="1"/>
  <c r="V102" i="1"/>
  <c r="W102" i="1"/>
  <c r="X102" i="1"/>
  <c r="Y102" i="1"/>
  <c r="Z102" i="1"/>
  <c r="AA102" i="1"/>
  <c r="AB102" i="1"/>
  <c r="AC102" i="1"/>
  <c r="AD102" i="1"/>
  <c r="L103" i="1"/>
  <c r="M103" i="1"/>
  <c r="N103" i="1"/>
  <c r="O103" i="1"/>
  <c r="P103" i="1"/>
  <c r="Q103" i="1"/>
  <c r="R103" i="1"/>
  <c r="S103" i="1"/>
  <c r="T103" i="1"/>
  <c r="U103" i="1"/>
  <c r="V103" i="1"/>
  <c r="W103" i="1"/>
  <c r="X103" i="1"/>
  <c r="Y103" i="1"/>
  <c r="Z103" i="1"/>
  <c r="AA103" i="1"/>
  <c r="AB103" i="1"/>
  <c r="AC103" i="1"/>
  <c r="AD103" i="1"/>
  <c r="L104" i="1"/>
  <c r="M104" i="1"/>
  <c r="N104" i="1"/>
  <c r="O104" i="1"/>
  <c r="P104" i="1"/>
  <c r="Q104" i="1"/>
  <c r="R104" i="1"/>
  <c r="S104" i="1"/>
  <c r="T104" i="1"/>
  <c r="U104" i="1"/>
  <c r="V104" i="1"/>
  <c r="W104" i="1"/>
  <c r="X104" i="1"/>
  <c r="Y104" i="1"/>
  <c r="Z104" i="1"/>
  <c r="AA104" i="1"/>
  <c r="AB104" i="1"/>
  <c r="AC104" i="1"/>
  <c r="AD104" i="1"/>
  <c r="L105" i="1"/>
  <c r="M105" i="1"/>
  <c r="N105" i="1"/>
  <c r="O105" i="1"/>
  <c r="P105" i="1"/>
  <c r="Q105" i="1"/>
  <c r="R105" i="1"/>
  <c r="S105" i="1"/>
  <c r="T105" i="1"/>
  <c r="U105" i="1"/>
  <c r="V105" i="1"/>
  <c r="W105" i="1"/>
  <c r="X105" i="1"/>
  <c r="Y105" i="1"/>
  <c r="Z105" i="1"/>
  <c r="AA105" i="1"/>
  <c r="AB105" i="1"/>
  <c r="AC105" i="1"/>
  <c r="AD105" i="1"/>
  <c r="L106" i="1"/>
  <c r="M106" i="1"/>
  <c r="N106" i="1"/>
  <c r="O106" i="1"/>
  <c r="P106" i="1"/>
  <c r="Q106" i="1"/>
  <c r="R106" i="1"/>
  <c r="S106" i="1"/>
  <c r="T106" i="1"/>
  <c r="U106" i="1"/>
  <c r="V106" i="1"/>
  <c r="W106" i="1"/>
  <c r="X106" i="1"/>
  <c r="Y106" i="1"/>
  <c r="Z106" i="1"/>
  <c r="AA106" i="1"/>
  <c r="AB106" i="1"/>
  <c r="AC106" i="1"/>
  <c r="AD106" i="1"/>
  <c r="L107" i="1"/>
  <c r="M107" i="1"/>
  <c r="N107" i="1"/>
  <c r="O107" i="1"/>
  <c r="P107" i="1"/>
  <c r="Q107" i="1"/>
  <c r="R107" i="1"/>
  <c r="S107" i="1"/>
  <c r="T107" i="1"/>
  <c r="U107" i="1"/>
  <c r="V107" i="1"/>
  <c r="W107" i="1"/>
  <c r="X107" i="1"/>
  <c r="Y107" i="1"/>
  <c r="Z107" i="1"/>
  <c r="AA107" i="1"/>
  <c r="AB107" i="1"/>
  <c r="AC107" i="1"/>
  <c r="AD107" i="1"/>
  <c r="L108" i="1"/>
  <c r="M108" i="1"/>
  <c r="N108" i="1"/>
  <c r="O108" i="1"/>
  <c r="P108" i="1"/>
  <c r="Q108" i="1"/>
  <c r="R108" i="1"/>
  <c r="S108" i="1"/>
  <c r="T108" i="1"/>
  <c r="U108" i="1"/>
  <c r="V108" i="1"/>
  <c r="W108" i="1"/>
  <c r="X108" i="1"/>
  <c r="Y108" i="1"/>
  <c r="Z108" i="1"/>
  <c r="AA108" i="1"/>
  <c r="AB108" i="1"/>
  <c r="AC108" i="1"/>
  <c r="AD108" i="1"/>
  <c r="L109" i="1"/>
  <c r="M109" i="1"/>
  <c r="N109" i="1"/>
  <c r="O109" i="1"/>
  <c r="P109" i="1"/>
  <c r="Q109" i="1"/>
  <c r="R109" i="1"/>
  <c r="S109" i="1"/>
  <c r="T109" i="1"/>
  <c r="U109" i="1"/>
  <c r="V109" i="1"/>
  <c r="W109" i="1"/>
  <c r="X109" i="1"/>
  <c r="Y109" i="1"/>
  <c r="Z109" i="1"/>
  <c r="AA109" i="1"/>
  <c r="AB109" i="1"/>
  <c r="AC109" i="1"/>
  <c r="AD109" i="1"/>
  <c r="L110" i="1"/>
  <c r="M110" i="1"/>
  <c r="N110" i="1"/>
  <c r="O110" i="1"/>
  <c r="P110" i="1"/>
  <c r="Q110" i="1"/>
  <c r="R110" i="1"/>
  <c r="S110" i="1"/>
  <c r="T110" i="1"/>
  <c r="U110" i="1"/>
  <c r="V110" i="1"/>
  <c r="W110" i="1"/>
  <c r="X110" i="1"/>
  <c r="Y110" i="1"/>
  <c r="Z110" i="1"/>
  <c r="AA110" i="1"/>
  <c r="AB110" i="1"/>
  <c r="AC110" i="1"/>
  <c r="AD110" i="1"/>
  <c r="L111" i="1"/>
  <c r="M111" i="1"/>
  <c r="N111" i="1"/>
  <c r="O111" i="1"/>
  <c r="P111" i="1"/>
  <c r="Q111" i="1"/>
  <c r="R111" i="1"/>
  <c r="S111" i="1"/>
  <c r="T111" i="1"/>
  <c r="U111" i="1"/>
  <c r="V111" i="1"/>
  <c r="W111" i="1"/>
  <c r="X111" i="1"/>
  <c r="Y111" i="1"/>
  <c r="Z111" i="1"/>
  <c r="AA111" i="1"/>
  <c r="AB111" i="1"/>
  <c r="AC111" i="1"/>
  <c r="AD111" i="1"/>
  <c r="L112" i="1"/>
  <c r="M112" i="1"/>
  <c r="N112" i="1"/>
  <c r="O112" i="1"/>
  <c r="P112" i="1"/>
  <c r="Q112" i="1"/>
  <c r="R112" i="1"/>
  <c r="S112" i="1"/>
  <c r="T112" i="1"/>
  <c r="U112" i="1"/>
  <c r="V112" i="1"/>
  <c r="W112" i="1"/>
  <c r="X112" i="1"/>
  <c r="Y112" i="1"/>
  <c r="Z112" i="1"/>
  <c r="AA112" i="1"/>
  <c r="AB112" i="1"/>
  <c r="AC112" i="1"/>
  <c r="AD112" i="1"/>
  <c r="L113" i="1"/>
  <c r="M113" i="1"/>
  <c r="N113" i="1"/>
  <c r="O113" i="1"/>
  <c r="P113" i="1"/>
  <c r="Q113" i="1"/>
  <c r="R113" i="1"/>
  <c r="S113" i="1"/>
  <c r="T113" i="1"/>
  <c r="U113" i="1"/>
  <c r="V113" i="1"/>
  <c r="W113" i="1"/>
  <c r="X113" i="1"/>
  <c r="Y113" i="1"/>
  <c r="Z113" i="1"/>
  <c r="AA113" i="1"/>
  <c r="AB113" i="1"/>
  <c r="AC113" i="1"/>
  <c r="AD113" i="1"/>
  <c r="L114" i="1"/>
  <c r="M114" i="1"/>
  <c r="N114" i="1"/>
  <c r="O114" i="1"/>
  <c r="P114" i="1"/>
  <c r="Q114" i="1"/>
  <c r="R114" i="1"/>
  <c r="S114" i="1"/>
  <c r="T114" i="1"/>
  <c r="U114" i="1"/>
  <c r="V114" i="1"/>
  <c r="W114" i="1"/>
  <c r="X114" i="1"/>
  <c r="Y114" i="1"/>
  <c r="Z114" i="1"/>
  <c r="AA114" i="1"/>
  <c r="AB114" i="1"/>
  <c r="AC114" i="1"/>
  <c r="AD114" i="1"/>
  <c r="L115" i="1"/>
  <c r="M115" i="1"/>
  <c r="N115" i="1"/>
  <c r="O115" i="1"/>
  <c r="P115" i="1"/>
  <c r="Q115" i="1"/>
  <c r="R115" i="1"/>
  <c r="S115" i="1"/>
  <c r="T115" i="1"/>
  <c r="U115" i="1"/>
  <c r="V115" i="1"/>
  <c r="W115" i="1"/>
  <c r="X115" i="1"/>
  <c r="Y115" i="1"/>
  <c r="Z115" i="1"/>
  <c r="AA115" i="1"/>
  <c r="AB115" i="1"/>
  <c r="AC115" i="1"/>
  <c r="AD115" i="1"/>
  <c r="L116" i="1"/>
  <c r="M116" i="1"/>
  <c r="N116" i="1"/>
  <c r="O116" i="1"/>
  <c r="P116" i="1"/>
  <c r="Q116" i="1"/>
  <c r="R116" i="1"/>
  <c r="S116" i="1"/>
  <c r="T116" i="1"/>
  <c r="U116" i="1"/>
  <c r="V116" i="1"/>
  <c r="W116" i="1"/>
  <c r="X116" i="1"/>
  <c r="Y116" i="1"/>
  <c r="Z116" i="1"/>
  <c r="AA116" i="1"/>
  <c r="AB116" i="1"/>
  <c r="AC116" i="1"/>
  <c r="AD116" i="1"/>
  <c r="L117" i="1"/>
  <c r="M117" i="1"/>
  <c r="N117" i="1"/>
  <c r="O117" i="1"/>
  <c r="P117" i="1"/>
  <c r="Q117" i="1"/>
  <c r="R117" i="1"/>
  <c r="S117" i="1"/>
  <c r="T117" i="1"/>
  <c r="U117" i="1"/>
  <c r="V117" i="1"/>
  <c r="W117" i="1"/>
  <c r="X117" i="1"/>
  <c r="Y117" i="1"/>
  <c r="Z117" i="1"/>
  <c r="AA117" i="1"/>
  <c r="AB117" i="1"/>
  <c r="AC117" i="1"/>
  <c r="AD117" i="1"/>
  <c r="L118" i="1"/>
  <c r="M118" i="1"/>
  <c r="N118" i="1"/>
  <c r="O118" i="1"/>
  <c r="P118" i="1"/>
  <c r="Q118" i="1"/>
  <c r="R118" i="1"/>
  <c r="S118" i="1"/>
  <c r="T118" i="1"/>
  <c r="U118" i="1"/>
  <c r="V118" i="1"/>
  <c r="W118" i="1"/>
  <c r="X118" i="1"/>
  <c r="Y118" i="1"/>
  <c r="Z118" i="1"/>
  <c r="AA118" i="1"/>
  <c r="AB118" i="1"/>
  <c r="AC118" i="1"/>
  <c r="AD118" i="1"/>
  <c r="L119" i="1"/>
  <c r="M119" i="1"/>
  <c r="N119" i="1"/>
  <c r="O119" i="1"/>
  <c r="P119" i="1"/>
  <c r="Q119" i="1"/>
  <c r="R119" i="1"/>
  <c r="S119" i="1"/>
  <c r="T119" i="1"/>
  <c r="U119" i="1"/>
  <c r="V119" i="1"/>
  <c r="W119" i="1"/>
  <c r="X119" i="1"/>
  <c r="Y119" i="1"/>
  <c r="Z119" i="1"/>
  <c r="AA119" i="1"/>
  <c r="AB119" i="1"/>
  <c r="AC119" i="1"/>
  <c r="AD119" i="1"/>
  <c r="L120" i="1"/>
  <c r="M120" i="1"/>
  <c r="N120" i="1"/>
  <c r="O120" i="1"/>
  <c r="P120" i="1"/>
  <c r="Q120" i="1"/>
  <c r="R120" i="1"/>
  <c r="S120" i="1"/>
  <c r="T120" i="1"/>
  <c r="U120" i="1"/>
  <c r="V120" i="1"/>
  <c r="W120" i="1"/>
  <c r="X120" i="1"/>
  <c r="Y120" i="1"/>
  <c r="Z120" i="1"/>
  <c r="AA120" i="1"/>
  <c r="AB120" i="1"/>
  <c r="AC120" i="1"/>
  <c r="AD120" i="1"/>
  <c r="L121" i="1"/>
  <c r="M121" i="1"/>
  <c r="N121" i="1"/>
  <c r="O121" i="1"/>
  <c r="P121" i="1"/>
  <c r="Q121" i="1"/>
  <c r="R121" i="1"/>
  <c r="S121" i="1"/>
  <c r="T121" i="1"/>
  <c r="U121" i="1"/>
  <c r="V121" i="1"/>
  <c r="W121" i="1"/>
  <c r="X121" i="1"/>
  <c r="Y121" i="1"/>
  <c r="Z121" i="1"/>
  <c r="AA121" i="1"/>
  <c r="AB121" i="1"/>
  <c r="AC121" i="1"/>
  <c r="AD121" i="1"/>
  <c r="L122" i="1"/>
  <c r="M122" i="1"/>
  <c r="N122" i="1"/>
  <c r="O122" i="1"/>
  <c r="P122" i="1"/>
  <c r="Q122" i="1"/>
  <c r="R122" i="1"/>
  <c r="S122" i="1"/>
  <c r="T122" i="1"/>
  <c r="U122" i="1"/>
  <c r="V122" i="1"/>
  <c r="W122" i="1"/>
  <c r="X122" i="1"/>
  <c r="Y122" i="1"/>
  <c r="Z122" i="1"/>
  <c r="AA122" i="1"/>
  <c r="AB122" i="1"/>
  <c r="AC122" i="1"/>
  <c r="AD122" i="1"/>
  <c r="L123" i="1"/>
  <c r="M123" i="1"/>
  <c r="N123" i="1"/>
  <c r="O123" i="1"/>
  <c r="P123" i="1"/>
  <c r="Q123" i="1"/>
  <c r="R123" i="1"/>
  <c r="S123" i="1"/>
  <c r="T123" i="1"/>
  <c r="U123" i="1"/>
  <c r="V123" i="1"/>
  <c r="W123" i="1"/>
  <c r="X123" i="1"/>
  <c r="Y123" i="1"/>
  <c r="Z123" i="1"/>
  <c r="AA123" i="1"/>
  <c r="AB123" i="1"/>
  <c r="AC123" i="1"/>
  <c r="AD123" i="1"/>
  <c r="L124" i="1"/>
  <c r="M124" i="1"/>
  <c r="N124" i="1"/>
  <c r="O124" i="1"/>
  <c r="P124" i="1"/>
  <c r="Q124" i="1"/>
  <c r="R124" i="1"/>
  <c r="S124" i="1"/>
  <c r="T124" i="1"/>
  <c r="U124" i="1"/>
  <c r="V124" i="1"/>
  <c r="W124" i="1"/>
  <c r="X124" i="1"/>
  <c r="Y124" i="1"/>
  <c r="Z124" i="1"/>
  <c r="AA124" i="1"/>
  <c r="AB124" i="1"/>
  <c r="AC124" i="1"/>
  <c r="AD124" i="1"/>
  <c r="L125" i="1"/>
  <c r="M125" i="1"/>
  <c r="N125" i="1"/>
  <c r="O125" i="1"/>
  <c r="P125" i="1"/>
  <c r="Q125" i="1"/>
  <c r="R125" i="1"/>
  <c r="S125" i="1"/>
  <c r="T125" i="1"/>
  <c r="U125" i="1"/>
  <c r="V125" i="1"/>
  <c r="W125" i="1"/>
  <c r="X125" i="1"/>
  <c r="Y125" i="1"/>
  <c r="Z125" i="1"/>
  <c r="AA125" i="1"/>
  <c r="AB125" i="1"/>
  <c r="AC125" i="1"/>
  <c r="AD125" i="1"/>
  <c r="L126" i="1"/>
  <c r="M126" i="1"/>
  <c r="N126" i="1"/>
  <c r="O126" i="1"/>
  <c r="P126" i="1"/>
  <c r="Q126" i="1"/>
  <c r="R126" i="1"/>
  <c r="S126" i="1"/>
  <c r="T126" i="1"/>
  <c r="U126" i="1"/>
  <c r="V126" i="1"/>
  <c r="W126" i="1"/>
  <c r="X126" i="1"/>
  <c r="Y126" i="1"/>
  <c r="Z126" i="1"/>
  <c r="AA126" i="1"/>
  <c r="AB126" i="1"/>
  <c r="AC126" i="1"/>
  <c r="AD126" i="1"/>
  <c r="L127" i="1"/>
  <c r="M127" i="1"/>
  <c r="N127" i="1"/>
  <c r="O127" i="1"/>
  <c r="P127" i="1"/>
  <c r="Q127" i="1"/>
  <c r="R127" i="1"/>
  <c r="S127" i="1"/>
  <c r="T127" i="1"/>
  <c r="U127" i="1"/>
  <c r="V127" i="1"/>
  <c r="W127" i="1"/>
  <c r="X127" i="1"/>
  <c r="Y127" i="1"/>
  <c r="Z127" i="1"/>
  <c r="AA127" i="1"/>
  <c r="AB127" i="1"/>
  <c r="AC127" i="1"/>
  <c r="AD127" i="1"/>
  <c r="L128" i="1"/>
  <c r="M128" i="1"/>
  <c r="N128" i="1"/>
  <c r="O128" i="1"/>
  <c r="P128" i="1"/>
  <c r="Q128" i="1"/>
  <c r="R128" i="1"/>
  <c r="S128" i="1"/>
  <c r="T128" i="1"/>
  <c r="U128" i="1"/>
  <c r="V128" i="1"/>
  <c r="W128" i="1"/>
  <c r="X128" i="1"/>
  <c r="Y128" i="1"/>
  <c r="Z128" i="1"/>
  <c r="AA128" i="1"/>
  <c r="AB128" i="1"/>
  <c r="AC128" i="1"/>
  <c r="AD128" i="1"/>
  <c r="L129" i="1"/>
  <c r="M129" i="1"/>
  <c r="N129" i="1"/>
  <c r="O129" i="1"/>
  <c r="P129" i="1"/>
  <c r="Q129" i="1"/>
  <c r="R129" i="1"/>
  <c r="S129" i="1"/>
  <c r="T129" i="1"/>
  <c r="U129" i="1"/>
  <c r="V129" i="1"/>
  <c r="W129" i="1"/>
  <c r="X129" i="1"/>
  <c r="Y129" i="1"/>
  <c r="Z129" i="1"/>
  <c r="AA129" i="1"/>
  <c r="AB129" i="1"/>
  <c r="AC129" i="1"/>
  <c r="AD129" i="1"/>
  <c r="L130" i="1"/>
  <c r="M130" i="1"/>
  <c r="N130" i="1"/>
  <c r="O130" i="1"/>
  <c r="P130" i="1"/>
  <c r="Q130" i="1"/>
  <c r="R130" i="1"/>
  <c r="S130" i="1"/>
  <c r="T130" i="1"/>
  <c r="U130" i="1"/>
  <c r="V130" i="1"/>
  <c r="W130" i="1"/>
  <c r="X130" i="1"/>
  <c r="Y130" i="1"/>
  <c r="Z130" i="1"/>
  <c r="AA130" i="1"/>
  <c r="AB130" i="1"/>
  <c r="AC130" i="1"/>
  <c r="AD130" i="1"/>
  <c r="L131" i="1"/>
  <c r="M131" i="1"/>
  <c r="N131" i="1"/>
  <c r="O131" i="1"/>
  <c r="P131" i="1"/>
  <c r="Q131" i="1"/>
  <c r="R131" i="1"/>
  <c r="S131" i="1"/>
  <c r="T131" i="1"/>
  <c r="U131" i="1"/>
  <c r="V131" i="1"/>
  <c r="W131" i="1"/>
  <c r="X131" i="1"/>
  <c r="Y131" i="1"/>
  <c r="Z131" i="1"/>
  <c r="AA131" i="1"/>
  <c r="AB131" i="1"/>
  <c r="AC131" i="1"/>
  <c r="AD131" i="1"/>
  <c r="L132" i="1"/>
  <c r="M132" i="1"/>
  <c r="N132" i="1"/>
  <c r="O132" i="1"/>
  <c r="P132" i="1"/>
  <c r="Q132" i="1"/>
  <c r="R132" i="1"/>
  <c r="S132" i="1"/>
  <c r="T132" i="1"/>
  <c r="U132" i="1"/>
  <c r="V132" i="1"/>
  <c r="W132" i="1"/>
  <c r="X132" i="1"/>
  <c r="Y132" i="1"/>
  <c r="Z132" i="1"/>
  <c r="AA132" i="1"/>
  <c r="AB132" i="1"/>
  <c r="AC132" i="1"/>
  <c r="AD132" i="1"/>
  <c r="L133" i="1"/>
  <c r="M133" i="1"/>
  <c r="N133" i="1"/>
  <c r="O133" i="1"/>
  <c r="P133" i="1"/>
  <c r="Q133" i="1"/>
  <c r="R133" i="1"/>
  <c r="S133" i="1"/>
  <c r="T133" i="1"/>
  <c r="U133" i="1"/>
  <c r="V133" i="1"/>
  <c r="W133" i="1"/>
  <c r="X133" i="1"/>
  <c r="Y133" i="1"/>
  <c r="Z133" i="1"/>
  <c r="AA133" i="1"/>
  <c r="AB133" i="1"/>
  <c r="AC133" i="1"/>
  <c r="AD133" i="1"/>
  <c r="L134" i="1"/>
  <c r="M134" i="1"/>
  <c r="N134" i="1"/>
  <c r="O134" i="1"/>
  <c r="P134" i="1"/>
  <c r="Q134" i="1"/>
  <c r="R134" i="1"/>
  <c r="S134" i="1"/>
  <c r="T134" i="1"/>
  <c r="U134" i="1"/>
  <c r="V134" i="1"/>
  <c r="W134" i="1"/>
  <c r="X134" i="1"/>
  <c r="Y134" i="1"/>
  <c r="Z134" i="1"/>
  <c r="AA134" i="1"/>
  <c r="AB134" i="1"/>
  <c r="AC134" i="1"/>
  <c r="AD134" i="1"/>
  <c r="L135" i="1"/>
  <c r="M135" i="1"/>
  <c r="N135" i="1"/>
  <c r="O135" i="1"/>
  <c r="P135" i="1"/>
  <c r="Q135" i="1"/>
  <c r="R135" i="1"/>
  <c r="S135" i="1"/>
  <c r="T135" i="1"/>
  <c r="U135" i="1"/>
  <c r="V135" i="1"/>
  <c r="W135" i="1"/>
  <c r="X135" i="1"/>
  <c r="Y135" i="1"/>
  <c r="Z135" i="1"/>
  <c r="AA135" i="1"/>
  <c r="AB135" i="1"/>
  <c r="AC135" i="1"/>
  <c r="AD135" i="1"/>
  <c r="L136" i="1"/>
  <c r="M136" i="1"/>
  <c r="N136" i="1"/>
  <c r="O136" i="1"/>
  <c r="P136" i="1"/>
  <c r="Q136" i="1"/>
  <c r="R136" i="1"/>
  <c r="S136" i="1"/>
  <c r="T136" i="1"/>
  <c r="U136" i="1"/>
  <c r="V136" i="1"/>
  <c r="W136" i="1"/>
  <c r="X136" i="1"/>
  <c r="Y136" i="1"/>
  <c r="Z136" i="1"/>
  <c r="AA136" i="1"/>
  <c r="AB136" i="1"/>
  <c r="AC136" i="1"/>
  <c r="AD136" i="1"/>
  <c r="L137" i="1"/>
  <c r="M137" i="1"/>
  <c r="N137" i="1"/>
  <c r="O137" i="1"/>
  <c r="P137" i="1"/>
  <c r="Q137" i="1"/>
  <c r="R137" i="1"/>
  <c r="S137" i="1"/>
  <c r="T137" i="1"/>
  <c r="U137" i="1"/>
  <c r="V137" i="1"/>
  <c r="W137" i="1"/>
  <c r="X137" i="1"/>
  <c r="Y137" i="1"/>
  <c r="Z137" i="1"/>
  <c r="AA137" i="1"/>
  <c r="AB137" i="1"/>
  <c r="AC137" i="1"/>
  <c r="AD137" i="1"/>
  <c r="L138" i="1"/>
  <c r="M138" i="1"/>
  <c r="N138" i="1"/>
  <c r="O138" i="1"/>
  <c r="P138" i="1"/>
  <c r="Q138" i="1"/>
  <c r="R138" i="1"/>
  <c r="S138" i="1"/>
  <c r="T138" i="1"/>
  <c r="U138" i="1"/>
  <c r="V138" i="1"/>
  <c r="W138" i="1"/>
  <c r="X138" i="1"/>
  <c r="Y138" i="1"/>
  <c r="Z138" i="1"/>
  <c r="AA138" i="1"/>
  <c r="AB138" i="1"/>
  <c r="AC138" i="1"/>
  <c r="AD138" i="1"/>
  <c r="L139" i="1"/>
  <c r="M139" i="1"/>
  <c r="N139" i="1"/>
  <c r="O139" i="1"/>
  <c r="P139" i="1"/>
  <c r="Q139" i="1"/>
  <c r="R139" i="1"/>
  <c r="S139" i="1"/>
  <c r="T139" i="1"/>
  <c r="U139" i="1"/>
  <c r="V139" i="1"/>
  <c r="W139" i="1"/>
  <c r="X139" i="1"/>
  <c r="Y139" i="1"/>
  <c r="Z139" i="1"/>
  <c r="AA139" i="1"/>
  <c r="AB139" i="1"/>
  <c r="AC139" i="1"/>
  <c r="AD139" i="1"/>
  <c r="L140" i="1"/>
  <c r="M140" i="1"/>
  <c r="N140" i="1"/>
  <c r="O140" i="1"/>
  <c r="P140" i="1"/>
  <c r="Q140" i="1"/>
  <c r="R140" i="1"/>
  <c r="S140" i="1"/>
  <c r="T140" i="1"/>
  <c r="U140" i="1"/>
  <c r="V140" i="1"/>
  <c r="W140" i="1"/>
  <c r="X140" i="1"/>
  <c r="Y140" i="1"/>
  <c r="Z140" i="1"/>
  <c r="AA140" i="1"/>
  <c r="AB140" i="1"/>
  <c r="AC140" i="1"/>
  <c r="AD140" i="1"/>
  <c r="L141" i="1"/>
  <c r="M141" i="1"/>
  <c r="N141" i="1"/>
  <c r="O141" i="1"/>
  <c r="P141" i="1"/>
  <c r="Q141" i="1"/>
  <c r="R141" i="1"/>
  <c r="S141" i="1"/>
  <c r="T141" i="1"/>
  <c r="U141" i="1"/>
  <c r="V141" i="1"/>
  <c r="W141" i="1"/>
  <c r="X141" i="1"/>
  <c r="Y141" i="1"/>
  <c r="Z141" i="1"/>
  <c r="AA141" i="1"/>
  <c r="AB141" i="1"/>
  <c r="AC141" i="1"/>
  <c r="AD141" i="1"/>
  <c r="L142" i="1"/>
  <c r="M142" i="1"/>
  <c r="N142" i="1"/>
  <c r="O142" i="1"/>
  <c r="P142" i="1"/>
  <c r="Q142" i="1"/>
  <c r="R142" i="1"/>
  <c r="S142" i="1"/>
  <c r="T142" i="1"/>
  <c r="U142" i="1"/>
  <c r="V142" i="1"/>
  <c r="W142" i="1"/>
  <c r="X142" i="1"/>
  <c r="Y142" i="1"/>
  <c r="Z142" i="1"/>
  <c r="AA142" i="1"/>
  <c r="AB142" i="1"/>
  <c r="AC142" i="1"/>
  <c r="AD142" i="1"/>
  <c r="L143" i="1"/>
  <c r="M143" i="1"/>
  <c r="N143" i="1"/>
  <c r="O143" i="1"/>
  <c r="P143" i="1"/>
  <c r="Q143" i="1"/>
  <c r="R143" i="1"/>
  <c r="S143" i="1"/>
  <c r="T143" i="1"/>
  <c r="U143" i="1"/>
  <c r="V143" i="1"/>
  <c r="W143" i="1"/>
  <c r="X143" i="1"/>
  <c r="Y143" i="1"/>
  <c r="Z143" i="1"/>
  <c r="AA143" i="1"/>
  <c r="AB143" i="1"/>
  <c r="AC143" i="1"/>
  <c r="AD143" i="1"/>
  <c r="L144" i="1"/>
  <c r="M144" i="1"/>
  <c r="N144" i="1"/>
  <c r="O144" i="1"/>
  <c r="P144" i="1"/>
  <c r="Q144" i="1"/>
  <c r="R144" i="1"/>
  <c r="S144" i="1"/>
  <c r="T144" i="1"/>
  <c r="U144" i="1"/>
  <c r="V144" i="1"/>
  <c r="W144" i="1"/>
  <c r="X144" i="1"/>
  <c r="Y144" i="1"/>
  <c r="Z144" i="1"/>
  <c r="AA144" i="1"/>
  <c r="AB144" i="1"/>
  <c r="AC144" i="1"/>
  <c r="AD144" i="1"/>
  <c r="L145" i="1"/>
  <c r="M145" i="1"/>
  <c r="N145" i="1"/>
  <c r="O145" i="1"/>
  <c r="P145" i="1"/>
  <c r="Q145" i="1"/>
  <c r="R145" i="1"/>
  <c r="S145" i="1"/>
  <c r="T145" i="1"/>
  <c r="U145" i="1"/>
  <c r="V145" i="1"/>
  <c r="W145" i="1"/>
  <c r="X145" i="1"/>
  <c r="Y145" i="1"/>
  <c r="Z145" i="1"/>
  <c r="AA145" i="1"/>
  <c r="AB145" i="1"/>
  <c r="AC145" i="1"/>
  <c r="AD145" i="1"/>
  <c r="L146" i="1"/>
  <c r="M146" i="1"/>
  <c r="N146" i="1"/>
  <c r="O146" i="1"/>
  <c r="P146" i="1"/>
  <c r="Q146" i="1"/>
  <c r="R146" i="1"/>
  <c r="S146" i="1"/>
  <c r="T146" i="1"/>
  <c r="U146" i="1"/>
  <c r="V146" i="1"/>
  <c r="W146" i="1"/>
  <c r="X146" i="1"/>
  <c r="Y146" i="1"/>
  <c r="Z146" i="1"/>
  <c r="AA146" i="1"/>
  <c r="AB146" i="1"/>
  <c r="AC146" i="1"/>
  <c r="AD146" i="1"/>
  <c r="L147" i="1"/>
  <c r="M147" i="1"/>
  <c r="N147" i="1"/>
  <c r="O147" i="1"/>
  <c r="P147" i="1"/>
  <c r="Q147" i="1"/>
  <c r="R147" i="1"/>
  <c r="S147" i="1"/>
  <c r="T147" i="1"/>
  <c r="U147" i="1"/>
  <c r="V147" i="1"/>
  <c r="W147" i="1"/>
  <c r="X147" i="1"/>
  <c r="Y147" i="1"/>
  <c r="Z147" i="1"/>
  <c r="AA147" i="1"/>
  <c r="AB147" i="1"/>
  <c r="AC147" i="1"/>
  <c r="AD147" i="1"/>
  <c r="L148" i="1"/>
  <c r="M148" i="1"/>
  <c r="N148" i="1"/>
  <c r="O148" i="1"/>
  <c r="P148" i="1"/>
  <c r="Q148" i="1"/>
  <c r="R148" i="1"/>
  <c r="S148" i="1"/>
  <c r="T148" i="1"/>
  <c r="U148" i="1"/>
  <c r="V148" i="1"/>
  <c r="W148" i="1"/>
  <c r="X148" i="1"/>
  <c r="Y148" i="1"/>
  <c r="Z148" i="1"/>
  <c r="AA148" i="1"/>
  <c r="AB148" i="1"/>
  <c r="AC148" i="1"/>
  <c r="AD148" i="1"/>
  <c r="L149" i="1"/>
  <c r="M149" i="1"/>
  <c r="N149" i="1"/>
  <c r="O149" i="1"/>
  <c r="P149" i="1"/>
  <c r="Q149" i="1"/>
  <c r="R149" i="1"/>
  <c r="S149" i="1"/>
  <c r="T149" i="1"/>
  <c r="U149" i="1"/>
  <c r="V149" i="1"/>
  <c r="W149" i="1"/>
  <c r="X149" i="1"/>
  <c r="Y149" i="1"/>
  <c r="Z149" i="1"/>
  <c r="AA149" i="1"/>
  <c r="AB149" i="1"/>
  <c r="AC149" i="1"/>
  <c r="AD149" i="1"/>
  <c r="L150" i="1"/>
  <c r="M150" i="1"/>
  <c r="N150" i="1"/>
  <c r="O150" i="1"/>
  <c r="P150" i="1"/>
  <c r="Q150" i="1"/>
  <c r="R150" i="1"/>
  <c r="S150" i="1"/>
  <c r="T150" i="1"/>
  <c r="U150" i="1"/>
  <c r="V150" i="1"/>
  <c r="W150" i="1"/>
  <c r="X150" i="1"/>
  <c r="Y150" i="1"/>
  <c r="Z150" i="1"/>
  <c r="AA150" i="1"/>
  <c r="AB150" i="1"/>
  <c r="AC150" i="1"/>
  <c r="AD150" i="1"/>
  <c r="L151" i="1"/>
  <c r="M151" i="1"/>
  <c r="N151" i="1"/>
  <c r="O151" i="1"/>
  <c r="P151" i="1"/>
  <c r="Q151" i="1"/>
  <c r="R151" i="1"/>
  <c r="S151" i="1"/>
  <c r="T151" i="1"/>
  <c r="U151" i="1"/>
  <c r="V151" i="1"/>
  <c r="W151" i="1"/>
  <c r="X151" i="1"/>
  <c r="Y151" i="1"/>
  <c r="Z151" i="1"/>
  <c r="AA151" i="1"/>
  <c r="AB151" i="1"/>
  <c r="AC151" i="1"/>
  <c r="AD151" i="1"/>
  <c r="L152" i="1"/>
  <c r="M152" i="1"/>
  <c r="N152" i="1"/>
  <c r="O152" i="1"/>
  <c r="P152" i="1"/>
  <c r="Q152" i="1"/>
  <c r="R152" i="1"/>
  <c r="S152" i="1"/>
  <c r="T152" i="1"/>
  <c r="U152" i="1"/>
  <c r="V152" i="1"/>
  <c r="W152" i="1"/>
  <c r="X152" i="1"/>
  <c r="Y152" i="1"/>
  <c r="Z152" i="1"/>
  <c r="AA152" i="1"/>
  <c r="AB152" i="1"/>
  <c r="AC152" i="1"/>
  <c r="AD152" i="1"/>
  <c r="L153" i="1"/>
  <c r="M153" i="1"/>
  <c r="N153" i="1"/>
  <c r="O153" i="1"/>
  <c r="P153" i="1"/>
  <c r="Q153" i="1"/>
  <c r="R153" i="1"/>
  <c r="S153" i="1"/>
  <c r="T153" i="1"/>
  <c r="U153" i="1"/>
  <c r="V153" i="1"/>
  <c r="W153" i="1"/>
  <c r="X153" i="1"/>
  <c r="Y153" i="1"/>
  <c r="Z153" i="1"/>
  <c r="AA153" i="1"/>
  <c r="AB153" i="1"/>
  <c r="AC153" i="1"/>
  <c r="AD153" i="1"/>
  <c r="L154" i="1"/>
  <c r="M154" i="1"/>
  <c r="N154" i="1"/>
  <c r="O154" i="1"/>
  <c r="P154" i="1"/>
  <c r="Q154" i="1"/>
  <c r="R154" i="1"/>
  <c r="S154" i="1"/>
  <c r="T154" i="1"/>
  <c r="U154" i="1"/>
  <c r="V154" i="1"/>
  <c r="W154" i="1"/>
  <c r="X154" i="1"/>
  <c r="Y154" i="1"/>
  <c r="Z154" i="1"/>
  <c r="AA154" i="1"/>
  <c r="AB154" i="1"/>
  <c r="AC154" i="1"/>
  <c r="AD154" i="1"/>
  <c r="L155" i="1"/>
  <c r="M155" i="1"/>
  <c r="N155" i="1"/>
  <c r="O155" i="1"/>
  <c r="P155" i="1"/>
  <c r="Q155" i="1"/>
  <c r="R155" i="1"/>
  <c r="S155" i="1"/>
  <c r="T155" i="1"/>
  <c r="U155" i="1"/>
  <c r="V155" i="1"/>
  <c r="W155" i="1"/>
  <c r="X155" i="1"/>
  <c r="Y155" i="1"/>
  <c r="Z155" i="1"/>
  <c r="AA155" i="1"/>
  <c r="AB155" i="1"/>
  <c r="AC155" i="1"/>
  <c r="AD155" i="1"/>
  <c r="L156" i="1"/>
  <c r="M156" i="1"/>
  <c r="N156" i="1"/>
  <c r="O156" i="1"/>
  <c r="P156" i="1"/>
  <c r="Q156" i="1"/>
  <c r="R156" i="1"/>
  <c r="S156" i="1"/>
  <c r="T156" i="1"/>
  <c r="U156" i="1"/>
  <c r="V156" i="1"/>
  <c r="W156" i="1"/>
  <c r="X156" i="1"/>
  <c r="Y156" i="1"/>
  <c r="Z156" i="1"/>
  <c r="AA156" i="1"/>
  <c r="AB156" i="1"/>
  <c r="AC156" i="1"/>
  <c r="AD156" i="1"/>
  <c r="L157" i="1"/>
  <c r="M157" i="1"/>
  <c r="N157" i="1"/>
  <c r="O157" i="1"/>
  <c r="P157" i="1"/>
  <c r="Q157" i="1"/>
  <c r="R157" i="1"/>
  <c r="S157" i="1"/>
  <c r="T157" i="1"/>
  <c r="U157" i="1"/>
  <c r="V157" i="1"/>
  <c r="W157" i="1"/>
  <c r="X157" i="1"/>
  <c r="Y157" i="1"/>
  <c r="Z157" i="1"/>
  <c r="AA157" i="1"/>
  <c r="AB157" i="1"/>
  <c r="AC157" i="1"/>
  <c r="AD157" i="1"/>
  <c r="L158" i="1"/>
  <c r="M158" i="1"/>
  <c r="N158" i="1"/>
  <c r="O158" i="1"/>
  <c r="P158" i="1"/>
  <c r="Q158" i="1"/>
  <c r="R158" i="1"/>
  <c r="S158" i="1"/>
  <c r="T158" i="1"/>
  <c r="U158" i="1"/>
  <c r="V158" i="1"/>
  <c r="W158" i="1"/>
  <c r="X158" i="1"/>
  <c r="Y158" i="1"/>
  <c r="Z158" i="1"/>
  <c r="AA158" i="1"/>
  <c r="AB158" i="1"/>
  <c r="AC158" i="1"/>
  <c r="AD158" i="1"/>
  <c r="L159" i="1"/>
  <c r="M159" i="1"/>
  <c r="N159" i="1"/>
  <c r="O159" i="1"/>
  <c r="P159" i="1"/>
  <c r="Q159" i="1"/>
  <c r="R159" i="1"/>
  <c r="S159" i="1"/>
  <c r="T159" i="1"/>
  <c r="U159" i="1"/>
  <c r="V159" i="1"/>
  <c r="W159" i="1"/>
  <c r="X159" i="1"/>
  <c r="Y159" i="1"/>
  <c r="Z159" i="1"/>
  <c r="AA159" i="1"/>
  <c r="AB159" i="1"/>
  <c r="AC159" i="1"/>
  <c r="AD159" i="1"/>
  <c r="L160" i="1"/>
  <c r="M160" i="1"/>
  <c r="N160" i="1"/>
  <c r="O160" i="1"/>
  <c r="P160" i="1"/>
  <c r="Q160" i="1"/>
  <c r="R160" i="1"/>
  <c r="S160" i="1"/>
  <c r="T160" i="1"/>
  <c r="U160" i="1"/>
  <c r="V160" i="1"/>
  <c r="W160" i="1"/>
  <c r="X160" i="1"/>
  <c r="Y160" i="1"/>
  <c r="Z160" i="1"/>
  <c r="AA160" i="1"/>
  <c r="AB160" i="1"/>
  <c r="AC160" i="1"/>
  <c r="AD160" i="1"/>
  <c r="L161" i="1"/>
  <c r="M161" i="1"/>
  <c r="N161" i="1"/>
  <c r="O161" i="1"/>
  <c r="P161" i="1"/>
  <c r="Q161" i="1"/>
  <c r="R161" i="1"/>
  <c r="S161" i="1"/>
  <c r="T161" i="1"/>
  <c r="U161" i="1"/>
  <c r="V161" i="1"/>
  <c r="W161" i="1"/>
  <c r="X161" i="1"/>
  <c r="Y161" i="1"/>
  <c r="Z161" i="1"/>
  <c r="AA161" i="1"/>
  <c r="AB161" i="1"/>
  <c r="AC161" i="1"/>
  <c r="AD161" i="1"/>
  <c r="L162" i="1"/>
  <c r="M162" i="1"/>
  <c r="N162" i="1"/>
  <c r="O162" i="1"/>
  <c r="P162" i="1"/>
  <c r="Q162" i="1"/>
  <c r="R162" i="1"/>
  <c r="S162" i="1"/>
  <c r="T162" i="1"/>
  <c r="U162" i="1"/>
  <c r="V162" i="1"/>
  <c r="W162" i="1"/>
  <c r="X162" i="1"/>
  <c r="Y162" i="1"/>
  <c r="Z162" i="1"/>
  <c r="AA162" i="1"/>
  <c r="AB162" i="1"/>
  <c r="AC162" i="1"/>
  <c r="AD162" i="1"/>
  <c r="L163" i="1"/>
  <c r="M163" i="1"/>
  <c r="N163" i="1"/>
  <c r="O163" i="1"/>
  <c r="P163" i="1"/>
  <c r="Q163" i="1"/>
  <c r="R163" i="1"/>
  <c r="S163" i="1"/>
  <c r="T163" i="1"/>
  <c r="U163" i="1"/>
  <c r="V163" i="1"/>
  <c r="W163" i="1"/>
  <c r="X163" i="1"/>
  <c r="Y163" i="1"/>
  <c r="Z163" i="1"/>
  <c r="AA163" i="1"/>
  <c r="AB163" i="1"/>
  <c r="AC163" i="1"/>
  <c r="AD163" i="1"/>
  <c r="L164" i="1"/>
  <c r="M164" i="1"/>
  <c r="N164" i="1"/>
  <c r="O164" i="1"/>
  <c r="P164" i="1"/>
  <c r="Q164" i="1"/>
  <c r="R164" i="1"/>
  <c r="S164" i="1"/>
  <c r="T164" i="1"/>
  <c r="U164" i="1"/>
  <c r="V164" i="1"/>
  <c r="W164" i="1"/>
  <c r="X164" i="1"/>
  <c r="Y164" i="1"/>
  <c r="Z164" i="1"/>
  <c r="AA164" i="1"/>
  <c r="AB164" i="1"/>
  <c r="AC164" i="1"/>
  <c r="AD164" i="1"/>
  <c r="L165" i="1"/>
  <c r="M165" i="1"/>
  <c r="N165" i="1"/>
  <c r="O165" i="1"/>
  <c r="P165" i="1"/>
  <c r="Q165" i="1"/>
  <c r="R165" i="1"/>
  <c r="S165" i="1"/>
  <c r="T165" i="1"/>
  <c r="U165" i="1"/>
  <c r="V165" i="1"/>
  <c r="W165" i="1"/>
  <c r="X165" i="1"/>
  <c r="Y165" i="1"/>
  <c r="Z165" i="1"/>
  <c r="AA165" i="1"/>
  <c r="AB165" i="1"/>
  <c r="AC165" i="1"/>
  <c r="AD165" i="1"/>
  <c r="L166" i="1"/>
  <c r="M166" i="1"/>
  <c r="N166" i="1"/>
  <c r="O166" i="1"/>
  <c r="P166" i="1"/>
  <c r="Q166" i="1"/>
  <c r="R166" i="1"/>
  <c r="S166" i="1"/>
  <c r="T166" i="1"/>
  <c r="U166" i="1"/>
  <c r="V166" i="1"/>
  <c r="W166" i="1"/>
  <c r="X166" i="1"/>
  <c r="Y166" i="1"/>
  <c r="Z166" i="1"/>
  <c r="AA166" i="1"/>
  <c r="AB166" i="1"/>
  <c r="AC166" i="1"/>
  <c r="AD166" i="1"/>
  <c r="L167" i="1"/>
  <c r="M167" i="1"/>
  <c r="N167" i="1"/>
  <c r="O167" i="1"/>
  <c r="P167" i="1"/>
  <c r="Q167" i="1"/>
  <c r="R167" i="1"/>
  <c r="S167" i="1"/>
  <c r="T167" i="1"/>
  <c r="U167" i="1"/>
  <c r="V167" i="1"/>
  <c r="W167" i="1"/>
  <c r="X167" i="1"/>
  <c r="Y167" i="1"/>
  <c r="Z167" i="1"/>
  <c r="AA167" i="1"/>
  <c r="AB167" i="1"/>
  <c r="AC167" i="1"/>
  <c r="AD167" i="1"/>
  <c r="L168" i="1"/>
  <c r="M168" i="1"/>
  <c r="N168" i="1"/>
  <c r="O168" i="1"/>
  <c r="P168" i="1"/>
  <c r="Q168" i="1"/>
  <c r="R168" i="1"/>
  <c r="S168" i="1"/>
  <c r="T168" i="1"/>
  <c r="U168" i="1"/>
  <c r="V168" i="1"/>
  <c r="W168" i="1"/>
  <c r="X168" i="1"/>
  <c r="Y168" i="1"/>
  <c r="Z168" i="1"/>
  <c r="AA168" i="1"/>
  <c r="AB168" i="1"/>
  <c r="AC168" i="1"/>
  <c r="AD168" i="1"/>
  <c r="L169" i="1"/>
  <c r="M169" i="1"/>
  <c r="N169" i="1"/>
  <c r="O169" i="1"/>
  <c r="P169" i="1"/>
  <c r="Q169" i="1"/>
  <c r="R169" i="1"/>
  <c r="S169" i="1"/>
  <c r="T169" i="1"/>
  <c r="U169" i="1"/>
  <c r="V169" i="1"/>
  <c r="W169" i="1"/>
  <c r="X169" i="1"/>
  <c r="Y169" i="1"/>
  <c r="Z169" i="1"/>
  <c r="AA169" i="1"/>
  <c r="AB169" i="1"/>
  <c r="AC169" i="1"/>
  <c r="AD169" i="1"/>
  <c r="L170" i="1"/>
  <c r="M170" i="1"/>
  <c r="N170" i="1"/>
  <c r="O170" i="1"/>
  <c r="P170" i="1"/>
  <c r="Q170" i="1"/>
  <c r="R170" i="1"/>
  <c r="S170" i="1"/>
  <c r="T170" i="1"/>
  <c r="U170" i="1"/>
  <c r="V170" i="1"/>
  <c r="W170" i="1"/>
  <c r="X170" i="1"/>
  <c r="Y170" i="1"/>
  <c r="Z170" i="1"/>
  <c r="AA170" i="1"/>
  <c r="AB170" i="1"/>
  <c r="AC170" i="1"/>
  <c r="AD170" i="1"/>
  <c r="L171" i="1"/>
  <c r="M171" i="1"/>
  <c r="N171" i="1"/>
  <c r="O171" i="1"/>
  <c r="P171" i="1"/>
  <c r="Q171" i="1"/>
  <c r="R171" i="1"/>
  <c r="S171" i="1"/>
  <c r="T171" i="1"/>
  <c r="U171" i="1"/>
  <c r="V171" i="1"/>
  <c r="W171" i="1"/>
  <c r="X171" i="1"/>
  <c r="Y171" i="1"/>
  <c r="Z171" i="1"/>
  <c r="AA171" i="1"/>
  <c r="AB171" i="1"/>
  <c r="AC171" i="1"/>
  <c r="AD171" i="1"/>
  <c r="L172" i="1"/>
  <c r="M172" i="1"/>
  <c r="N172" i="1"/>
  <c r="O172" i="1"/>
  <c r="P172" i="1"/>
  <c r="Q172" i="1"/>
  <c r="R172" i="1"/>
  <c r="S172" i="1"/>
  <c r="T172" i="1"/>
  <c r="U172" i="1"/>
  <c r="V172" i="1"/>
  <c r="W172" i="1"/>
  <c r="X172" i="1"/>
  <c r="Y172" i="1"/>
  <c r="Z172" i="1"/>
  <c r="AA172" i="1"/>
  <c r="AB172" i="1"/>
  <c r="AC172" i="1"/>
  <c r="AD172" i="1"/>
  <c r="L173" i="1"/>
  <c r="M173" i="1"/>
  <c r="N173" i="1"/>
  <c r="O173" i="1"/>
  <c r="P173" i="1"/>
  <c r="Q173" i="1"/>
  <c r="R173" i="1"/>
  <c r="S173" i="1"/>
  <c r="T173" i="1"/>
  <c r="U173" i="1"/>
  <c r="V173" i="1"/>
  <c r="W173" i="1"/>
  <c r="X173" i="1"/>
  <c r="Y173" i="1"/>
  <c r="Z173" i="1"/>
  <c r="AA173" i="1"/>
  <c r="AB173" i="1"/>
  <c r="AC173" i="1"/>
  <c r="AD173" i="1"/>
  <c r="L174" i="1"/>
  <c r="M174" i="1"/>
  <c r="N174" i="1"/>
  <c r="O174" i="1"/>
  <c r="P174" i="1"/>
  <c r="Q174" i="1"/>
  <c r="R174" i="1"/>
  <c r="S174" i="1"/>
  <c r="T174" i="1"/>
  <c r="U174" i="1"/>
  <c r="V174" i="1"/>
  <c r="W174" i="1"/>
  <c r="X174" i="1"/>
  <c r="Y174" i="1"/>
  <c r="Z174" i="1"/>
  <c r="AA174" i="1"/>
  <c r="AB174" i="1"/>
  <c r="AC174" i="1"/>
  <c r="AD174" i="1"/>
  <c r="L175" i="1"/>
  <c r="M175" i="1"/>
  <c r="N175" i="1"/>
  <c r="O175" i="1"/>
  <c r="P175" i="1"/>
  <c r="Q175" i="1"/>
  <c r="R175" i="1"/>
  <c r="S175" i="1"/>
  <c r="T175" i="1"/>
  <c r="U175" i="1"/>
  <c r="V175" i="1"/>
  <c r="W175" i="1"/>
  <c r="X175" i="1"/>
  <c r="Y175" i="1"/>
  <c r="Z175" i="1"/>
  <c r="AA175" i="1"/>
  <c r="AB175" i="1"/>
  <c r="AC175" i="1"/>
  <c r="AD175" i="1"/>
  <c r="L176" i="1"/>
  <c r="M176" i="1"/>
  <c r="N176" i="1"/>
  <c r="O176" i="1"/>
  <c r="P176" i="1"/>
  <c r="Q176" i="1"/>
  <c r="R176" i="1"/>
  <c r="S176" i="1"/>
  <c r="T176" i="1"/>
  <c r="U176" i="1"/>
  <c r="V176" i="1"/>
  <c r="W176" i="1"/>
  <c r="X176" i="1"/>
  <c r="Y176" i="1"/>
  <c r="Z176" i="1"/>
  <c r="AA176" i="1"/>
  <c r="AB176" i="1"/>
  <c r="AC176" i="1"/>
  <c r="AD176" i="1"/>
  <c r="L177" i="1"/>
  <c r="M177" i="1"/>
  <c r="N177" i="1"/>
  <c r="O177" i="1"/>
  <c r="P177" i="1"/>
  <c r="Q177" i="1"/>
  <c r="R177" i="1"/>
  <c r="S177" i="1"/>
  <c r="T177" i="1"/>
  <c r="U177" i="1"/>
  <c r="V177" i="1"/>
  <c r="W177" i="1"/>
  <c r="X177" i="1"/>
  <c r="Y177" i="1"/>
  <c r="Z177" i="1"/>
  <c r="AA177" i="1"/>
  <c r="AB177" i="1"/>
  <c r="AC177" i="1"/>
  <c r="AD177" i="1"/>
  <c r="L178" i="1"/>
  <c r="M178" i="1"/>
  <c r="N178" i="1"/>
  <c r="O178" i="1"/>
  <c r="P178" i="1"/>
  <c r="Q178" i="1"/>
  <c r="R178" i="1"/>
  <c r="S178" i="1"/>
  <c r="T178" i="1"/>
  <c r="U178" i="1"/>
  <c r="V178" i="1"/>
  <c r="W178" i="1"/>
  <c r="X178" i="1"/>
  <c r="Y178" i="1"/>
  <c r="Z178" i="1"/>
  <c r="AA178" i="1"/>
  <c r="AB178" i="1"/>
  <c r="AC178" i="1"/>
  <c r="AD178" i="1"/>
  <c r="L179" i="1"/>
  <c r="M179" i="1"/>
  <c r="N179" i="1"/>
  <c r="O179" i="1"/>
  <c r="P179" i="1"/>
  <c r="Q179" i="1"/>
  <c r="R179" i="1"/>
  <c r="S179" i="1"/>
  <c r="T179" i="1"/>
  <c r="U179" i="1"/>
  <c r="V179" i="1"/>
  <c r="W179" i="1"/>
  <c r="X179" i="1"/>
  <c r="Y179" i="1"/>
  <c r="Z179" i="1"/>
  <c r="AA179" i="1"/>
  <c r="AB179" i="1"/>
  <c r="AC179" i="1"/>
  <c r="AD179" i="1"/>
  <c r="L180" i="1"/>
  <c r="M180" i="1"/>
  <c r="N180" i="1"/>
  <c r="O180" i="1"/>
  <c r="P180" i="1"/>
  <c r="Q180" i="1"/>
  <c r="R180" i="1"/>
  <c r="S180" i="1"/>
  <c r="T180" i="1"/>
  <c r="U180" i="1"/>
  <c r="V180" i="1"/>
  <c r="W180" i="1"/>
  <c r="X180" i="1"/>
  <c r="Y180" i="1"/>
  <c r="Z180" i="1"/>
  <c r="AA180" i="1"/>
  <c r="AB180" i="1"/>
  <c r="AC180" i="1"/>
  <c r="AD180" i="1"/>
  <c r="L181" i="1"/>
  <c r="M181" i="1"/>
  <c r="N181" i="1"/>
  <c r="O181" i="1"/>
  <c r="P181" i="1"/>
  <c r="Q181" i="1"/>
  <c r="R181" i="1"/>
  <c r="S181" i="1"/>
  <c r="T181" i="1"/>
  <c r="U181" i="1"/>
  <c r="V181" i="1"/>
  <c r="W181" i="1"/>
  <c r="X181" i="1"/>
  <c r="Y181" i="1"/>
  <c r="Z181" i="1"/>
  <c r="AA181" i="1"/>
  <c r="AB181" i="1"/>
  <c r="AC181" i="1"/>
  <c r="AD181" i="1"/>
  <c r="L182" i="1"/>
  <c r="M182" i="1"/>
  <c r="N182" i="1"/>
  <c r="O182" i="1"/>
  <c r="P182" i="1"/>
  <c r="Q182" i="1"/>
  <c r="R182" i="1"/>
  <c r="S182" i="1"/>
  <c r="T182" i="1"/>
  <c r="U182" i="1"/>
  <c r="V182" i="1"/>
  <c r="W182" i="1"/>
  <c r="X182" i="1"/>
  <c r="Y182" i="1"/>
  <c r="Z182" i="1"/>
  <c r="AA182" i="1"/>
  <c r="AB182" i="1"/>
  <c r="AC182" i="1"/>
  <c r="AD182" i="1"/>
  <c r="L183" i="1"/>
  <c r="M183" i="1"/>
  <c r="N183" i="1"/>
  <c r="O183" i="1"/>
  <c r="P183" i="1"/>
  <c r="Q183" i="1"/>
  <c r="R183" i="1"/>
  <c r="S183" i="1"/>
  <c r="T183" i="1"/>
  <c r="U183" i="1"/>
  <c r="V183" i="1"/>
  <c r="W183" i="1"/>
  <c r="X183" i="1"/>
  <c r="Y183" i="1"/>
  <c r="Z183" i="1"/>
  <c r="AA183" i="1"/>
  <c r="AB183" i="1"/>
  <c r="AC183" i="1"/>
  <c r="AD183" i="1"/>
  <c r="L184" i="1"/>
  <c r="M184" i="1"/>
  <c r="N184" i="1"/>
  <c r="O184" i="1"/>
  <c r="P184" i="1"/>
  <c r="Q184" i="1"/>
  <c r="R184" i="1"/>
  <c r="S184" i="1"/>
  <c r="T184" i="1"/>
  <c r="U184" i="1"/>
  <c r="V184" i="1"/>
  <c r="W184" i="1"/>
  <c r="X184" i="1"/>
  <c r="Y184" i="1"/>
  <c r="Z184" i="1"/>
  <c r="AA184" i="1"/>
  <c r="AB184" i="1"/>
  <c r="AC184" i="1"/>
  <c r="AD184" i="1"/>
  <c r="L185" i="1"/>
  <c r="M185" i="1"/>
  <c r="N185" i="1"/>
  <c r="O185" i="1"/>
  <c r="P185" i="1"/>
  <c r="Q185" i="1"/>
  <c r="R185" i="1"/>
  <c r="S185" i="1"/>
  <c r="T185" i="1"/>
  <c r="U185" i="1"/>
  <c r="V185" i="1"/>
  <c r="W185" i="1"/>
  <c r="X185" i="1"/>
  <c r="Y185" i="1"/>
  <c r="Z185" i="1"/>
  <c r="AA185" i="1"/>
  <c r="AB185" i="1"/>
  <c r="AC185" i="1"/>
  <c r="AD185" i="1"/>
  <c r="L186" i="1"/>
  <c r="M186" i="1"/>
  <c r="N186" i="1"/>
  <c r="O186" i="1"/>
  <c r="P186" i="1"/>
  <c r="Q186" i="1"/>
  <c r="R186" i="1"/>
  <c r="S186" i="1"/>
  <c r="T186" i="1"/>
  <c r="U186" i="1"/>
  <c r="V186" i="1"/>
  <c r="W186" i="1"/>
  <c r="X186" i="1"/>
  <c r="Y186" i="1"/>
  <c r="Z186" i="1"/>
  <c r="AA186" i="1"/>
  <c r="AB186" i="1"/>
  <c r="AC186" i="1"/>
  <c r="AD186" i="1"/>
  <c r="L187" i="1"/>
  <c r="M187" i="1"/>
  <c r="N187" i="1"/>
  <c r="O187" i="1"/>
  <c r="P187" i="1"/>
  <c r="Q187" i="1"/>
  <c r="R187" i="1"/>
  <c r="S187" i="1"/>
  <c r="T187" i="1"/>
  <c r="U187" i="1"/>
  <c r="V187" i="1"/>
  <c r="W187" i="1"/>
  <c r="X187" i="1"/>
  <c r="Y187" i="1"/>
  <c r="Z187" i="1"/>
  <c r="AA187" i="1"/>
  <c r="AB187" i="1"/>
  <c r="AC187" i="1"/>
  <c r="AD187" i="1"/>
  <c r="L188" i="1"/>
  <c r="M188" i="1"/>
  <c r="N188" i="1"/>
  <c r="O188" i="1"/>
  <c r="P188" i="1"/>
  <c r="Q188" i="1"/>
  <c r="R188" i="1"/>
  <c r="S188" i="1"/>
  <c r="T188" i="1"/>
  <c r="U188" i="1"/>
  <c r="V188" i="1"/>
  <c r="W188" i="1"/>
  <c r="X188" i="1"/>
  <c r="Y188" i="1"/>
  <c r="Z188" i="1"/>
  <c r="AA188" i="1"/>
  <c r="AB188" i="1"/>
  <c r="AC188" i="1"/>
  <c r="AD188" i="1"/>
  <c r="L189" i="1"/>
  <c r="M189" i="1"/>
  <c r="N189" i="1"/>
  <c r="O189" i="1"/>
  <c r="P189" i="1"/>
  <c r="Q189" i="1"/>
  <c r="R189" i="1"/>
  <c r="S189" i="1"/>
  <c r="T189" i="1"/>
  <c r="U189" i="1"/>
  <c r="V189" i="1"/>
  <c r="W189" i="1"/>
  <c r="X189" i="1"/>
  <c r="Y189" i="1"/>
  <c r="Z189" i="1"/>
  <c r="AA189" i="1"/>
  <c r="AB189" i="1"/>
  <c r="AC189" i="1"/>
  <c r="AD189" i="1"/>
  <c r="L190" i="1"/>
  <c r="M190" i="1"/>
  <c r="N190" i="1"/>
  <c r="O190" i="1"/>
  <c r="P190" i="1"/>
  <c r="Q190" i="1"/>
  <c r="R190" i="1"/>
  <c r="S190" i="1"/>
  <c r="T190" i="1"/>
  <c r="U190" i="1"/>
  <c r="V190" i="1"/>
  <c r="W190" i="1"/>
  <c r="X190" i="1"/>
  <c r="Y190" i="1"/>
  <c r="Z190" i="1"/>
  <c r="AA190" i="1"/>
  <c r="AB190" i="1"/>
  <c r="AC190" i="1"/>
  <c r="AD190" i="1"/>
  <c r="L191" i="1"/>
  <c r="M191" i="1"/>
  <c r="N191" i="1"/>
  <c r="O191" i="1"/>
  <c r="P191" i="1"/>
  <c r="Q191" i="1"/>
  <c r="R191" i="1"/>
  <c r="S191" i="1"/>
  <c r="T191" i="1"/>
  <c r="U191" i="1"/>
  <c r="V191" i="1"/>
  <c r="W191" i="1"/>
  <c r="X191" i="1"/>
  <c r="Y191" i="1"/>
  <c r="Z191" i="1"/>
  <c r="AA191" i="1"/>
  <c r="AB191" i="1"/>
  <c r="AC191" i="1"/>
  <c r="AD191" i="1"/>
  <c r="L192" i="1"/>
  <c r="M192" i="1"/>
  <c r="N192" i="1"/>
  <c r="O192" i="1"/>
  <c r="P192" i="1"/>
  <c r="Q192" i="1"/>
  <c r="R192" i="1"/>
  <c r="S192" i="1"/>
  <c r="T192" i="1"/>
  <c r="U192" i="1"/>
  <c r="V192" i="1"/>
  <c r="W192" i="1"/>
  <c r="X192" i="1"/>
  <c r="Y192" i="1"/>
  <c r="Z192" i="1"/>
  <c r="AA192" i="1"/>
  <c r="AB192" i="1"/>
  <c r="AC192" i="1"/>
  <c r="AD192" i="1"/>
  <c r="L193" i="1"/>
  <c r="M193" i="1"/>
  <c r="N193" i="1"/>
  <c r="O193" i="1"/>
  <c r="P193" i="1"/>
  <c r="Q193" i="1"/>
  <c r="R193" i="1"/>
  <c r="S193" i="1"/>
  <c r="T193" i="1"/>
  <c r="U193" i="1"/>
  <c r="V193" i="1"/>
  <c r="W193" i="1"/>
  <c r="X193" i="1"/>
  <c r="Y193" i="1"/>
  <c r="Z193" i="1"/>
  <c r="AA193" i="1"/>
  <c r="AB193" i="1"/>
  <c r="AC193" i="1"/>
  <c r="AD193" i="1"/>
  <c r="L194" i="1"/>
  <c r="M194" i="1"/>
  <c r="N194" i="1"/>
  <c r="O194" i="1"/>
  <c r="P194" i="1"/>
  <c r="Q194" i="1"/>
  <c r="R194" i="1"/>
  <c r="S194" i="1"/>
  <c r="T194" i="1"/>
  <c r="U194" i="1"/>
  <c r="V194" i="1"/>
  <c r="W194" i="1"/>
  <c r="X194" i="1"/>
  <c r="Y194" i="1"/>
  <c r="Z194" i="1"/>
  <c r="AA194" i="1"/>
  <c r="AB194" i="1"/>
  <c r="AC194" i="1"/>
  <c r="AD194" i="1"/>
  <c r="L195" i="1"/>
  <c r="M195" i="1"/>
  <c r="N195" i="1"/>
  <c r="O195" i="1"/>
  <c r="P195" i="1"/>
  <c r="Q195" i="1"/>
  <c r="R195" i="1"/>
  <c r="S195" i="1"/>
  <c r="T195" i="1"/>
  <c r="U195" i="1"/>
  <c r="V195" i="1"/>
  <c r="W195" i="1"/>
  <c r="X195" i="1"/>
  <c r="Y195" i="1"/>
  <c r="Z195" i="1"/>
  <c r="AA195" i="1"/>
  <c r="AB195" i="1"/>
  <c r="AC195" i="1"/>
  <c r="AD195" i="1"/>
  <c r="L196" i="1"/>
  <c r="M196" i="1"/>
  <c r="N196" i="1"/>
  <c r="O196" i="1"/>
  <c r="P196" i="1"/>
  <c r="Q196" i="1"/>
  <c r="R196" i="1"/>
  <c r="S196" i="1"/>
  <c r="T196" i="1"/>
  <c r="U196" i="1"/>
  <c r="V196" i="1"/>
  <c r="W196" i="1"/>
  <c r="X196" i="1"/>
  <c r="Y196" i="1"/>
  <c r="Z196" i="1"/>
  <c r="AA196" i="1"/>
  <c r="AB196" i="1"/>
  <c r="AC196" i="1"/>
  <c r="AD196" i="1"/>
  <c r="L197" i="1"/>
  <c r="M197" i="1"/>
  <c r="N197" i="1"/>
  <c r="O197" i="1"/>
  <c r="P197" i="1"/>
  <c r="Q197" i="1"/>
  <c r="R197" i="1"/>
  <c r="S197" i="1"/>
  <c r="T197" i="1"/>
  <c r="U197" i="1"/>
  <c r="V197" i="1"/>
  <c r="W197" i="1"/>
  <c r="X197" i="1"/>
  <c r="Y197" i="1"/>
  <c r="Z197" i="1"/>
  <c r="AA197" i="1"/>
  <c r="AB197" i="1"/>
  <c r="AC197" i="1"/>
  <c r="AD197" i="1"/>
  <c r="L198" i="1"/>
  <c r="M198" i="1"/>
  <c r="N198" i="1"/>
  <c r="O198" i="1"/>
  <c r="P198" i="1"/>
  <c r="Q198" i="1"/>
  <c r="R198" i="1"/>
  <c r="S198" i="1"/>
  <c r="T198" i="1"/>
  <c r="U198" i="1"/>
  <c r="V198" i="1"/>
  <c r="W198" i="1"/>
  <c r="X198" i="1"/>
  <c r="Y198" i="1"/>
  <c r="Z198" i="1"/>
  <c r="AA198" i="1"/>
  <c r="AB198" i="1"/>
  <c r="AC198" i="1"/>
  <c r="AD198" i="1"/>
  <c r="L199" i="1"/>
  <c r="M199" i="1"/>
  <c r="N199" i="1"/>
  <c r="O199" i="1"/>
  <c r="P199" i="1"/>
  <c r="Q199" i="1"/>
  <c r="R199" i="1"/>
  <c r="S199" i="1"/>
  <c r="T199" i="1"/>
  <c r="U199" i="1"/>
  <c r="V199" i="1"/>
  <c r="W199" i="1"/>
  <c r="X199" i="1"/>
  <c r="Y199" i="1"/>
  <c r="Z199" i="1"/>
  <c r="AA199" i="1"/>
  <c r="AB199" i="1"/>
  <c r="AC199" i="1"/>
  <c r="AD199" i="1"/>
  <c r="L200" i="1"/>
  <c r="M200" i="1"/>
  <c r="N200" i="1"/>
  <c r="O200" i="1"/>
  <c r="P200" i="1"/>
  <c r="Q200" i="1"/>
  <c r="R200" i="1"/>
  <c r="S200" i="1"/>
  <c r="T200" i="1"/>
  <c r="U200" i="1"/>
  <c r="V200" i="1"/>
  <c r="W200" i="1"/>
  <c r="X200" i="1"/>
  <c r="Y200" i="1"/>
  <c r="Z200" i="1"/>
  <c r="AA200" i="1"/>
  <c r="AB200" i="1"/>
  <c r="AC200" i="1"/>
  <c r="AD200" i="1"/>
  <c r="L201" i="1"/>
  <c r="M201" i="1"/>
  <c r="N201" i="1"/>
  <c r="O201" i="1"/>
  <c r="P201" i="1"/>
  <c r="Q201" i="1"/>
  <c r="R201" i="1"/>
  <c r="S201" i="1"/>
  <c r="T201" i="1"/>
  <c r="U201" i="1"/>
  <c r="V201" i="1"/>
  <c r="W201" i="1"/>
  <c r="X201" i="1"/>
  <c r="Y201" i="1"/>
  <c r="Z201" i="1"/>
  <c r="AA201" i="1"/>
  <c r="AB201" i="1"/>
  <c r="AC201" i="1"/>
  <c r="AD201" i="1"/>
  <c r="L202" i="1"/>
  <c r="M202" i="1"/>
  <c r="N202" i="1"/>
  <c r="O202" i="1"/>
  <c r="P202" i="1"/>
  <c r="Q202" i="1"/>
  <c r="R202" i="1"/>
  <c r="S202" i="1"/>
  <c r="T202" i="1"/>
  <c r="U202" i="1"/>
  <c r="V202" i="1"/>
  <c r="W202" i="1"/>
  <c r="X202" i="1"/>
  <c r="Y202" i="1"/>
  <c r="Z202" i="1"/>
  <c r="AA202" i="1"/>
  <c r="AB202" i="1"/>
  <c r="AC202" i="1"/>
  <c r="AD202" i="1"/>
  <c r="L203" i="1"/>
  <c r="M203" i="1"/>
  <c r="N203" i="1"/>
  <c r="O203" i="1"/>
  <c r="P203" i="1"/>
  <c r="Q203" i="1"/>
  <c r="R203" i="1"/>
  <c r="S203" i="1"/>
  <c r="T203" i="1"/>
  <c r="U203" i="1"/>
  <c r="V203" i="1"/>
  <c r="W203" i="1"/>
  <c r="X203" i="1"/>
  <c r="Y203" i="1"/>
  <c r="Z203" i="1"/>
  <c r="AA203" i="1"/>
  <c r="AB203" i="1"/>
  <c r="AC203" i="1"/>
  <c r="AD203" i="1"/>
  <c r="L204" i="1"/>
  <c r="M204" i="1"/>
  <c r="N204" i="1"/>
  <c r="O204" i="1"/>
  <c r="P204" i="1"/>
  <c r="Q204" i="1"/>
  <c r="R204" i="1"/>
  <c r="S204" i="1"/>
  <c r="T204" i="1"/>
  <c r="U204" i="1"/>
  <c r="V204" i="1"/>
  <c r="W204" i="1"/>
  <c r="X204" i="1"/>
  <c r="Y204" i="1"/>
  <c r="Z204" i="1"/>
  <c r="AA204" i="1"/>
  <c r="AB204" i="1"/>
  <c r="AC204" i="1"/>
  <c r="AD204" i="1"/>
  <c r="L205" i="1"/>
  <c r="M205" i="1"/>
  <c r="N205" i="1"/>
  <c r="O205" i="1"/>
  <c r="P205" i="1"/>
  <c r="Q205" i="1"/>
  <c r="R205" i="1"/>
  <c r="S205" i="1"/>
  <c r="T205" i="1"/>
  <c r="U205" i="1"/>
  <c r="V205" i="1"/>
  <c r="W205" i="1"/>
  <c r="X205" i="1"/>
  <c r="Y205" i="1"/>
  <c r="Z205" i="1"/>
  <c r="AA205" i="1"/>
  <c r="AB205" i="1"/>
  <c r="AC205" i="1"/>
  <c r="AD205" i="1"/>
  <c r="L206" i="1"/>
  <c r="M206" i="1"/>
  <c r="N206" i="1"/>
  <c r="O206" i="1"/>
  <c r="P206" i="1"/>
  <c r="Q206" i="1"/>
  <c r="R206" i="1"/>
  <c r="S206" i="1"/>
  <c r="T206" i="1"/>
  <c r="U206" i="1"/>
  <c r="V206" i="1"/>
  <c r="W206" i="1"/>
  <c r="X206" i="1"/>
  <c r="Y206" i="1"/>
  <c r="Z206" i="1"/>
  <c r="AA206" i="1"/>
  <c r="AB206" i="1"/>
  <c r="AC206" i="1"/>
  <c r="AD206" i="1"/>
  <c r="L207" i="1"/>
  <c r="M207" i="1"/>
  <c r="N207" i="1"/>
  <c r="O207" i="1"/>
  <c r="P207" i="1"/>
  <c r="Q207" i="1"/>
  <c r="R207" i="1"/>
  <c r="S207" i="1"/>
  <c r="T207" i="1"/>
  <c r="U207" i="1"/>
  <c r="V207" i="1"/>
  <c r="W207" i="1"/>
  <c r="X207" i="1"/>
  <c r="Y207" i="1"/>
  <c r="Z207" i="1"/>
  <c r="AA207" i="1"/>
  <c r="AB207" i="1"/>
  <c r="AC207" i="1"/>
  <c r="AD207" i="1"/>
  <c r="L208" i="1"/>
  <c r="M208" i="1"/>
  <c r="N208" i="1"/>
  <c r="O208" i="1"/>
  <c r="P208" i="1"/>
  <c r="Q208" i="1"/>
  <c r="R208" i="1"/>
  <c r="S208" i="1"/>
  <c r="T208" i="1"/>
  <c r="U208" i="1"/>
  <c r="V208" i="1"/>
  <c r="W208" i="1"/>
  <c r="X208" i="1"/>
  <c r="Y208" i="1"/>
  <c r="Z208" i="1"/>
  <c r="AA208" i="1"/>
  <c r="AB208" i="1"/>
  <c r="AC208" i="1"/>
  <c r="AD208" i="1"/>
  <c r="L209" i="1"/>
  <c r="M209" i="1"/>
  <c r="N209" i="1"/>
  <c r="O209" i="1"/>
  <c r="P209" i="1"/>
  <c r="Q209" i="1"/>
  <c r="R209" i="1"/>
  <c r="S209" i="1"/>
  <c r="T209" i="1"/>
  <c r="U209" i="1"/>
  <c r="V209" i="1"/>
  <c r="W209" i="1"/>
  <c r="X209" i="1"/>
  <c r="Y209" i="1"/>
  <c r="Z209" i="1"/>
  <c r="AA209" i="1"/>
  <c r="AB209" i="1"/>
  <c r="AC209" i="1"/>
  <c r="AD209" i="1"/>
  <c r="L210" i="1"/>
  <c r="M210" i="1"/>
  <c r="N210" i="1"/>
  <c r="O210" i="1"/>
  <c r="P210" i="1"/>
  <c r="Q210" i="1"/>
  <c r="R210" i="1"/>
  <c r="S210" i="1"/>
  <c r="T210" i="1"/>
  <c r="U210" i="1"/>
  <c r="V210" i="1"/>
  <c r="W210" i="1"/>
  <c r="X210" i="1"/>
  <c r="Y210" i="1"/>
  <c r="Z210" i="1"/>
  <c r="AA210" i="1"/>
  <c r="AB210" i="1"/>
  <c r="AC210" i="1"/>
  <c r="AD210" i="1"/>
  <c r="L211" i="1"/>
  <c r="M211" i="1"/>
  <c r="N211" i="1"/>
  <c r="O211" i="1"/>
  <c r="P211" i="1"/>
  <c r="Q211" i="1"/>
  <c r="R211" i="1"/>
  <c r="S211" i="1"/>
  <c r="T211" i="1"/>
  <c r="U211" i="1"/>
  <c r="V211" i="1"/>
  <c r="W211" i="1"/>
  <c r="X211" i="1"/>
  <c r="Y211" i="1"/>
  <c r="Z211" i="1"/>
  <c r="AA211" i="1"/>
  <c r="AB211" i="1"/>
  <c r="AC211" i="1"/>
  <c r="AD211" i="1"/>
  <c r="L212" i="1"/>
  <c r="M212" i="1"/>
  <c r="N212" i="1"/>
  <c r="O212" i="1"/>
  <c r="P212" i="1"/>
  <c r="Q212" i="1"/>
  <c r="R212" i="1"/>
  <c r="S212" i="1"/>
  <c r="T212" i="1"/>
  <c r="U212" i="1"/>
  <c r="V212" i="1"/>
  <c r="W212" i="1"/>
  <c r="X212" i="1"/>
  <c r="Y212" i="1"/>
  <c r="Z212" i="1"/>
  <c r="AA212" i="1"/>
  <c r="AB212" i="1"/>
  <c r="AC212" i="1"/>
  <c r="AD212" i="1"/>
  <c r="L213" i="1"/>
  <c r="M213" i="1"/>
  <c r="N213" i="1"/>
  <c r="O213" i="1"/>
  <c r="P213" i="1"/>
  <c r="Q213" i="1"/>
  <c r="R213" i="1"/>
  <c r="S213" i="1"/>
  <c r="T213" i="1"/>
  <c r="U213" i="1"/>
  <c r="V213" i="1"/>
  <c r="W213" i="1"/>
  <c r="X213" i="1"/>
  <c r="Y213" i="1"/>
  <c r="Z213" i="1"/>
  <c r="AA213" i="1"/>
  <c r="AB213" i="1"/>
  <c r="AC213" i="1"/>
  <c r="AD213" i="1"/>
  <c r="L214" i="1"/>
  <c r="M214" i="1"/>
  <c r="N214" i="1"/>
  <c r="O214" i="1"/>
  <c r="P214" i="1"/>
  <c r="Q214" i="1"/>
  <c r="R214" i="1"/>
  <c r="S214" i="1"/>
  <c r="T214" i="1"/>
  <c r="U214" i="1"/>
  <c r="V214" i="1"/>
  <c r="W214" i="1"/>
  <c r="X214" i="1"/>
  <c r="Y214" i="1"/>
  <c r="Z214" i="1"/>
  <c r="AA214" i="1"/>
  <c r="AB214" i="1"/>
  <c r="AC214" i="1"/>
  <c r="AD214" i="1"/>
  <c r="L215" i="1"/>
  <c r="M215" i="1"/>
  <c r="N215" i="1"/>
  <c r="O215" i="1"/>
  <c r="P215" i="1"/>
  <c r="Q215" i="1"/>
  <c r="R215" i="1"/>
  <c r="S215" i="1"/>
  <c r="T215" i="1"/>
  <c r="U215" i="1"/>
  <c r="V215" i="1"/>
  <c r="W215" i="1"/>
  <c r="X215" i="1"/>
  <c r="Y215" i="1"/>
  <c r="Z215" i="1"/>
  <c r="AA215" i="1"/>
  <c r="AB215" i="1"/>
  <c r="AC215" i="1"/>
  <c r="AD215" i="1"/>
  <c r="L216" i="1"/>
  <c r="M216" i="1"/>
  <c r="N216" i="1"/>
  <c r="O216" i="1"/>
  <c r="P216" i="1"/>
  <c r="Q216" i="1"/>
  <c r="R216" i="1"/>
  <c r="S216" i="1"/>
  <c r="T216" i="1"/>
  <c r="U216" i="1"/>
  <c r="V216" i="1"/>
  <c r="W216" i="1"/>
  <c r="X216" i="1"/>
  <c r="Y216" i="1"/>
  <c r="Z216" i="1"/>
  <c r="AA216" i="1"/>
  <c r="AB216" i="1"/>
  <c r="AC216" i="1"/>
  <c r="AD216" i="1"/>
  <c r="L217" i="1"/>
  <c r="M217" i="1"/>
  <c r="N217" i="1"/>
  <c r="O217" i="1"/>
  <c r="P217" i="1"/>
  <c r="Q217" i="1"/>
  <c r="R217" i="1"/>
  <c r="S217" i="1"/>
  <c r="T217" i="1"/>
  <c r="U217" i="1"/>
  <c r="V217" i="1"/>
  <c r="W217" i="1"/>
  <c r="X217" i="1"/>
  <c r="Y217" i="1"/>
  <c r="Z217" i="1"/>
  <c r="AA217" i="1"/>
  <c r="AB217" i="1"/>
  <c r="AC217" i="1"/>
  <c r="AD217" i="1"/>
  <c r="L218" i="1"/>
  <c r="M218" i="1"/>
  <c r="N218" i="1"/>
  <c r="O218" i="1"/>
  <c r="P218" i="1"/>
  <c r="Q218" i="1"/>
  <c r="R218" i="1"/>
  <c r="S218" i="1"/>
  <c r="T218" i="1"/>
  <c r="U218" i="1"/>
  <c r="V218" i="1"/>
  <c r="W218" i="1"/>
  <c r="X218" i="1"/>
  <c r="Y218" i="1"/>
  <c r="Z218" i="1"/>
  <c r="AA218" i="1"/>
  <c r="AB218" i="1"/>
  <c r="AC218" i="1"/>
  <c r="AD218" i="1"/>
  <c r="L219" i="1"/>
  <c r="M219" i="1"/>
  <c r="N219" i="1"/>
  <c r="O219" i="1"/>
  <c r="P219" i="1"/>
  <c r="Q219" i="1"/>
  <c r="R219" i="1"/>
  <c r="S219" i="1"/>
  <c r="T219" i="1"/>
  <c r="U219" i="1"/>
  <c r="V219" i="1"/>
  <c r="W219" i="1"/>
  <c r="X219" i="1"/>
  <c r="Y219" i="1"/>
  <c r="Z219" i="1"/>
  <c r="AA219" i="1"/>
  <c r="AB219" i="1"/>
  <c r="AC219" i="1"/>
  <c r="AD219" i="1"/>
  <c r="L220" i="1"/>
  <c r="M220" i="1"/>
  <c r="N220" i="1"/>
  <c r="O220" i="1"/>
  <c r="P220" i="1"/>
  <c r="Q220" i="1"/>
  <c r="R220" i="1"/>
  <c r="S220" i="1"/>
  <c r="T220" i="1"/>
  <c r="U220" i="1"/>
  <c r="V220" i="1"/>
  <c r="W220" i="1"/>
  <c r="X220" i="1"/>
  <c r="Y220" i="1"/>
  <c r="Z220" i="1"/>
  <c r="AA220" i="1"/>
  <c r="AB220" i="1"/>
  <c r="AC220" i="1"/>
  <c r="AD220" i="1"/>
  <c r="L221" i="1"/>
  <c r="M221" i="1"/>
  <c r="N221" i="1"/>
  <c r="O221" i="1"/>
  <c r="P221" i="1"/>
  <c r="Q221" i="1"/>
  <c r="R221" i="1"/>
  <c r="S221" i="1"/>
  <c r="T221" i="1"/>
  <c r="U221" i="1"/>
  <c r="V221" i="1"/>
  <c r="W221" i="1"/>
  <c r="X221" i="1"/>
  <c r="Y221" i="1"/>
  <c r="Z221" i="1"/>
  <c r="AA221" i="1"/>
  <c r="AB221" i="1"/>
  <c r="AC221" i="1"/>
  <c r="AD221" i="1"/>
  <c r="L222" i="1"/>
  <c r="M222" i="1"/>
  <c r="N222" i="1"/>
  <c r="O222" i="1"/>
  <c r="P222" i="1"/>
  <c r="Q222" i="1"/>
  <c r="R222" i="1"/>
  <c r="S222" i="1"/>
  <c r="T222" i="1"/>
  <c r="U222" i="1"/>
  <c r="V222" i="1"/>
  <c r="W222" i="1"/>
  <c r="X222" i="1"/>
  <c r="Y222" i="1"/>
  <c r="Z222" i="1"/>
  <c r="AA222" i="1"/>
  <c r="AB222" i="1"/>
  <c r="AC222" i="1"/>
  <c r="AD222" i="1"/>
  <c r="L223" i="1"/>
  <c r="M223" i="1"/>
  <c r="N223" i="1"/>
  <c r="O223" i="1"/>
  <c r="P223" i="1"/>
  <c r="Q223" i="1"/>
  <c r="R223" i="1"/>
  <c r="S223" i="1"/>
  <c r="T223" i="1"/>
  <c r="U223" i="1"/>
  <c r="V223" i="1"/>
  <c r="W223" i="1"/>
  <c r="X223" i="1"/>
  <c r="Y223" i="1"/>
  <c r="Z223" i="1"/>
  <c r="AA223" i="1"/>
  <c r="AB223" i="1"/>
  <c r="AC223" i="1"/>
  <c r="AD223" i="1"/>
  <c r="L224" i="1"/>
  <c r="M224" i="1"/>
  <c r="N224" i="1"/>
  <c r="O224" i="1"/>
  <c r="P224" i="1"/>
  <c r="Q224" i="1"/>
  <c r="R224" i="1"/>
  <c r="S224" i="1"/>
  <c r="T224" i="1"/>
  <c r="U224" i="1"/>
  <c r="V224" i="1"/>
  <c r="W224" i="1"/>
  <c r="X224" i="1"/>
  <c r="Y224" i="1"/>
  <c r="Z224" i="1"/>
  <c r="AA224" i="1"/>
  <c r="AB224" i="1"/>
  <c r="AC224" i="1"/>
  <c r="AD224" i="1"/>
  <c r="L225" i="1"/>
  <c r="M225" i="1"/>
  <c r="N225" i="1"/>
  <c r="O225" i="1"/>
  <c r="P225" i="1"/>
  <c r="Q225" i="1"/>
  <c r="R225" i="1"/>
  <c r="S225" i="1"/>
  <c r="T225" i="1"/>
  <c r="U225" i="1"/>
  <c r="V225" i="1"/>
  <c r="W225" i="1"/>
  <c r="X225" i="1"/>
  <c r="Y225" i="1"/>
  <c r="Z225" i="1"/>
  <c r="AA225" i="1"/>
  <c r="AB225" i="1"/>
  <c r="AC225" i="1"/>
  <c r="AD225" i="1"/>
  <c r="L226" i="1"/>
  <c r="M226" i="1"/>
  <c r="N226" i="1"/>
  <c r="O226" i="1"/>
  <c r="P226" i="1"/>
  <c r="Q226" i="1"/>
  <c r="R226" i="1"/>
  <c r="S226" i="1"/>
  <c r="T226" i="1"/>
  <c r="U226" i="1"/>
  <c r="V226" i="1"/>
  <c r="W226" i="1"/>
  <c r="X226" i="1"/>
  <c r="Y226" i="1"/>
  <c r="Z226" i="1"/>
  <c r="AA226" i="1"/>
  <c r="AB226" i="1"/>
  <c r="AC226" i="1"/>
  <c r="AD226" i="1"/>
  <c r="L227" i="1"/>
  <c r="M227" i="1"/>
  <c r="N227" i="1"/>
  <c r="O227" i="1"/>
  <c r="P227" i="1"/>
  <c r="Q227" i="1"/>
  <c r="R227" i="1"/>
  <c r="S227" i="1"/>
  <c r="T227" i="1"/>
  <c r="U227" i="1"/>
  <c r="V227" i="1"/>
  <c r="W227" i="1"/>
  <c r="X227" i="1"/>
  <c r="Y227" i="1"/>
  <c r="Z227" i="1"/>
  <c r="AA227" i="1"/>
  <c r="AB227" i="1"/>
  <c r="AC227" i="1"/>
  <c r="AD227" i="1"/>
  <c r="L228" i="1"/>
  <c r="M228" i="1"/>
  <c r="N228" i="1"/>
  <c r="O228" i="1"/>
  <c r="P228" i="1"/>
  <c r="Q228" i="1"/>
  <c r="R228" i="1"/>
  <c r="S228" i="1"/>
  <c r="T228" i="1"/>
  <c r="U228" i="1"/>
  <c r="V228" i="1"/>
  <c r="W228" i="1"/>
  <c r="X228" i="1"/>
  <c r="Y228" i="1"/>
  <c r="Z228" i="1"/>
  <c r="AA228" i="1"/>
  <c r="AB228" i="1"/>
  <c r="AC228" i="1"/>
  <c r="AD228" i="1"/>
  <c r="L229" i="1"/>
  <c r="M229" i="1"/>
  <c r="N229" i="1"/>
  <c r="O229" i="1"/>
  <c r="P229" i="1"/>
  <c r="Q229" i="1"/>
  <c r="R229" i="1"/>
  <c r="S229" i="1"/>
  <c r="T229" i="1"/>
  <c r="U229" i="1"/>
  <c r="V229" i="1"/>
  <c r="W229" i="1"/>
  <c r="X229" i="1"/>
  <c r="Y229" i="1"/>
  <c r="Z229" i="1"/>
  <c r="AA229" i="1"/>
  <c r="AB229" i="1"/>
  <c r="AC229" i="1"/>
  <c r="AD229" i="1"/>
  <c r="L230" i="1"/>
  <c r="M230" i="1"/>
  <c r="N230" i="1"/>
  <c r="O230" i="1"/>
  <c r="P230" i="1"/>
  <c r="Q230" i="1"/>
  <c r="R230" i="1"/>
  <c r="S230" i="1"/>
  <c r="T230" i="1"/>
  <c r="U230" i="1"/>
  <c r="V230" i="1"/>
  <c r="W230" i="1"/>
  <c r="X230" i="1"/>
  <c r="Y230" i="1"/>
  <c r="Z230" i="1"/>
  <c r="AA230" i="1"/>
  <c r="AB230" i="1"/>
  <c r="AC230" i="1"/>
  <c r="AD230" i="1"/>
  <c r="L231" i="1"/>
  <c r="M231" i="1"/>
  <c r="N231" i="1"/>
  <c r="O231" i="1"/>
  <c r="P231" i="1"/>
  <c r="Q231" i="1"/>
  <c r="R231" i="1"/>
  <c r="S231" i="1"/>
  <c r="T231" i="1"/>
  <c r="U231" i="1"/>
  <c r="V231" i="1"/>
  <c r="W231" i="1"/>
  <c r="X231" i="1"/>
  <c r="Y231" i="1"/>
  <c r="Z231" i="1"/>
  <c r="AA231" i="1"/>
  <c r="AB231" i="1"/>
  <c r="AC231" i="1"/>
  <c r="AD231" i="1"/>
  <c r="L232" i="1"/>
  <c r="M232" i="1"/>
  <c r="N232" i="1"/>
  <c r="O232" i="1"/>
  <c r="P232" i="1"/>
  <c r="Q232" i="1"/>
  <c r="R232" i="1"/>
  <c r="S232" i="1"/>
  <c r="T232" i="1"/>
  <c r="U232" i="1"/>
  <c r="V232" i="1"/>
  <c r="W232" i="1"/>
  <c r="X232" i="1"/>
  <c r="Y232" i="1"/>
  <c r="Z232" i="1"/>
  <c r="AA232" i="1"/>
  <c r="AB232" i="1"/>
  <c r="AC232" i="1"/>
  <c r="AD232" i="1"/>
  <c r="L233" i="1"/>
  <c r="M233" i="1"/>
  <c r="N233" i="1"/>
  <c r="O233" i="1"/>
  <c r="P233" i="1"/>
  <c r="Q233" i="1"/>
  <c r="R233" i="1"/>
  <c r="S233" i="1"/>
  <c r="T233" i="1"/>
  <c r="U233" i="1"/>
  <c r="V233" i="1"/>
  <c r="W233" i="1"/>
  <c r="X233" i="1"/>
  <c r="Y233" i="1"/>
  <c r="Z233" i="1"/>
  <c r="AA233" i="1"/>
  <c r="AB233" i="1"/>
  <c r="AC233" i="1"/>
  <c r="AD233" i="1"/>
  <c r="L234" i="1"/>
  <c r="M234" i="1"/>
  <c r="N234" i="1"/>
  <c r="O234" i="1"/>
  <c r="P234" i="1"/>
  <c r="Q234" i="1"/>
  <c r="R234" i="1"/>
  <c r="S234" i="1"/>
  <c r="T234" i="1"/>
  <c r="U234" i="1"/>
  <c r="V234" i="1"/>
  <c r="W234" i="1"/>
  <c r="X234" i="1"/>
  <c r="Y234" i="1"/>
  <c r="Z234" i="1"/>
  <c r="AA234" i="1"/>
  <c r="AB234" i="1"/>
  <c r="AC234" i="1"/>
  <c r="AD234" i="1"/>
  <c r="L235" i="1"/>
  <c r="M235" i="1"/>
  <c r="N235" i="1"/>
  <c r="O235" i="1"/>
  <c r="P235" i="1"/>
  <c r="Q235" i="1"/>
  <c r="R235" i="1"/>
  <c r="S235" i="1"/>
  <c r="T235" i="1"/>
  <c r="U235" i="1"/>
  <c r="V235" i="1"/>
  <c r="W235" i="1"/>
  <c r="X235" i="1"/>
  <c r="Y235" i="1"/>
  <c r="Z235" i="1"/>
  <c r="AA235" i="1"/>
  <c r="AB235" i="1"/>
  <c r="AC235" i="1"/>
  <c r="AD235" i="1"/>
  <c r="L236" i="1"/>
  <c r="M236" i="1"/>
  <c r="N236" i="1"/>
  <c r="O236" i="1"/>
  <c r="P236" i="1"/>
  <c r="Q236" i="1"/>
  <c r="R236" i="1"/>
  <c r="S236" i="1"/>
  <c r="T236" i="1"/>
  <c r="U236" i="1"/>
  <c r="V236" i="1"/>
  <c r="W236" i="1"/>
  <c r="X236" i="1"/>
  <c r="Y236" i="1"/>
  <c r="Z236" i="1"/>
  <c r="AA236" i="1"/>
  <c r="AB236" i="1"/>
  <c r="AC236" i="1"/>
  <c r="AD236" i="1"/>
  <c r="L237" i="1"/>
  <c r="M237" i="1"/>
  <c r="N237" i="1"/>
  <c r="O237" i="1"/>
  <c r="P237" i="1"/>
  <c r="Q237" i="1"/>
  <c r="R237" i="1"/>
  <c r="S237" i="1"/>
  <c r="T237" i="1"/>
  <c r="U237" i="1"/>
  <c r="V237" i="1"/>
  <c r="W237" i="1"/>
  <c r="X237" i="1"/>
  <c r="Y237" i="1"/>
  <c r="Z237" i="1"/>
  <c r="AA237" i="1"/>
  <c r="AB237" i="1"/>
  <c r="AC237" i="1"/>
  <c r="AD237" i="1"/>
  <c r="L238" i="1"/>
  <c r="M238" i="1"/>
  <c r="N238" i="1"/>
  <c r="O238" i="1"/>
  <c r="P238" i="1"/>
  <c r="Q238" i="1"/>
  <c r="R238" i="1"/>
  <c r="S238" i="1"/>
  <c r="T238" i="1"/>
  <c r="U238" i="1"/>
  <c r="V238" i="1"/>
  <c r="W238" i="1"/>
  <c r="X238" i="1"/>
  <c r="Y238" i="1"/>
  <c r="Z238" i="1"/>
  <c r="AA238" i="1"/>
  <c r="AB238" i="1"/>
  <c r="AC238" i="1"/>
  <c r="AD238" i="1"/>
  <c r="L239" i="1"/>
  <c r="M239" i="1"/>
  <c r="N239" i="1"/>
  <c r="O239" i="1"/>
  <c r="P239" i="1"/>
  <c r="Q239" i="1"/>
  <c r="R239" i="1"/>
  <c r="S239" i="1"/>
  <c r="T239" i="1"/>
  <c r="U239" i="1"/>
  <c r="V239" i="1"/>
  <c r="W239" i="1"/>
  <c r="X239" i="1"/>
  <c r="Y239" i="1"/>
  <c r="Z239" i="1"/>
  <c r="AA239" i="1"/>
  <c r="AB239" i="1"/>
  <c r="AC239" i="1"/>
  <c r="AD239" i="1"/>
  <c r="L240" i="1"/>
  <c r="M240" i="1"/>
  <c r="N240" i="1"/>
  <c r="O240" i="1"/>
  <c r="P240" i="1"/>
  <c r="Q240" i="1"/>
  <c r="R240" i="1"/>
  <c r="S240" i="1"/>
  <c r="T240" i="1"/>
  <c r="U240" i="1"/>
  <c r="V240" i="1"/>
  <c r="W240" i="1"/>
  <c r="X240" i="1"/>
  <c r="Y240" i="1"/>
  <c r="Z240" i="1"/>
  <c r="AA240" i="1"/>
  <c r="AB240" i="1"/>
  <c r="AC240" i="1"/>
  <c r="AD240" i="1"/>
  <c r="L241" i="1"/>
  <c r="M241" i="1"/>
  <c r="N241" i="1"/>
  <c r="O241" i="1"/>
  <c r="P241" i="1"/>
  <c r="Q241" i="1"/>
  <c r="R241" i="1"/>
  <c r="S241" i="1"/>
  <c r="T241" i="1"/>
  <c r="U241" i="1"/>
  <c r="V241" i="1"/>
  <c r="W241" i="1"/>
  <c r="X241" i="1"/>
  <c r="Y241" i="1"/>
  <c r="Z241" i="1"/>
  <c r="AA241" i="1"/>
  <c r="AB241" i="1"/>
  <c r="AC241" i="1"/>
  <c r="AD241" i="1"/>
  <c r="L242" i="1"/>
  <c r="M242" i="1"/>
  <c r="N242" i="1"/>
  <c r="O242" i="1"/>
  <c r="P242" i="1"/>
  <c r="Q242" i="1"/>
  <c r="R242" i="1"/>
  <c r="S242" i="1"/>
  <c r="T242" i="1"/>
  <c r="U242" i="1"/>
  <c r="V242" i="1"/>
  <c r="W242" i="1"/>
  <c r="X242" i="1"/>
  <c r="Y242" i="1"/>
  <c r="Z242" i="1"/>
  <c r="AA242" i="1"/>
  <c r="AB242" i="1"/>
  <c r="AC242" i="1"/>
  <c r="AD242" i="1"/>
  <c r="L243" i="1"/>
  <c r="M243" i="1"/>
  <c r="N243" i="1"/>
  <c r="O243" i="1"/>
  <c r="P243" i="1"/>
  <c r="Q243" i="1"/>
  <c r="R243" i="1"/>
  <c r="S243" i="1"/>
  <c r="T243" i="1"/>
  <c r="U243" i="1"/>
  <c r="V243" i="1"/>
  <c r="W243" i="1"/>
  <c r="X243" i="1"/>
  <c r="Y243" i="1"/>
  <c r="Z243" i="1"/>
  <c r="AA243" i="1"/>
  <c r="AB243" i="1"/>
  <c r="AC243" i="1"/>
  <c r="AD243" i="1"/>
  <c r="L244" i="1"/>
  <c r="M244" i="1"/>
  <c r="N244" i="1"/>
  <c r="O244" i="1"/>
  <c r="P244" i="1"/>
  <c r="Q244" i="1"/>
  <c r="R244" i="1"/>
  <c r="S244" i="1"/>
  <c r="T244" i="1"/>
  <c r="U244" i="1"/>
  <c r="V244" i="1"/>
  <c r="W244" i="1"/>
  <c r="X244" i="1"/>
  <c r="Y244" i="1"/>
  <c r="Z244" i="1"/>
  <c r="AA244" i="1"/>
  <c r="AB244" i="1"/>
  <c r="AC244" i="1"/>
  <c r="AD244" i="1"/>
  <c r="L245" i="1"/>
  <c r="M245" i="1"/>
  <c r="N245" i="1"/>
  <c r="O245" i="1"/>
  <c r="P245" i="1"/>
  <c r="Q245" i="1"/>
  <c r="R245" i="1"/>
  <c r="S245" i="1"/>
  <c r="T245" i="1"/>
  <c r="U245" i="1"/>
  <c r="V245" i="1"/>
  <c r="W245" i="1"/>
  <c r="X245" i="1"/>
  <c r="Y245" i="1"/>
  <c r="Z245" i="1"/>
  <c r="AA245" i="1"/>
  <c r="AB245" i="1"/>
  <c r="AC245" i="1"/>
  <c r="AD245" i="1"/>
  <c r="L246" i="1"/>
  <c r="M246" i="1"/>
  <c r="N246" i="1"/>
  <c r="O246" i="1"/>
  <c r="P246" i="1"/>
  <c r="Q246" i="1"/>
  <c r="R246" i="1"/>
  <c r="S246" i="1"/>
  <c r="T246" i="1"/>
  <c r="U246" i="1"/>
  <c r="V246" i="1"/>
  <c r="W246" i="1"/>
  <c r="X246" i="1"/>
  <c r="Y246" i="1"/>
  <c r="Z246" i="1"/>
  <c r="AA246" i="1"/>
  <c r="AB246" i="1"/>
  <c r="AC246" i="1"/>
  <c r="AD246" i="1"/>
  <c r="L247" i="1"/>
  <c r="M247" i="1"/>
  <c r="N247" i="1"/>
  <c r="O247" i="1"/>
  <c r="P247" i="1"/>
  <c r="Q247" i="1"/>
  <c r="R247" i="1"/>
  <c r="S247" i="1"/>
  <c r="T247" i="1"/>
  <c r="U247" i="1"/>
  <c r="V247" i="1"/>
  <c r="W247" i="1"/>
  <c r="X247" i="1"/>
  <c r="Y247" i="1"/>
  <c r="Z247" i="1"/>
  <c r="AA247" i="1"/>
  <c r="AB247" i="1"/>
  <c r="AC247" i="1"/>
  <c r="AD247" i="1"/>
  <c r="L248" i="1"/>
  <c r="M248" i="1"/>
  <c r="N248" i="1"/>
  <c r="O248" i="1"/>
  <c r="P248" i="1"/>
  <c r="Q248" i="1"/>
  <c r="R248" i="1"/>
  <c r="S248" i="1"/>
  <c r="T248" i="1"/>
  <c r="U248" i="1"/>
  <c r="V248" i="1"/>
  <c r="W248" i="1"/>
  <c r="X248" i="1"/>
  <c r="Y248" i="1"/>
  <c r="Z248" i="1"/>
  <c r="AA248" i="1"/>
  <c r="AB248" i="1"/>
  <c r="AC248" i="1"/>
  <c r="AD248" i="1"/>
  <c r="L249" i="1"/>
  <c r="M249" i="1"/>
  <c r="N249" i="1"/>
  <c r="O249" i="1"/>
  <c r="P249" i="1"/>
  <c r="Q249" i="1"/>
  <c r="R249" i="1"/>
  <c r="S249" i="1"/>
  <c r="T249" i="1"/>
  <c r="U249" i="1"/>
  <c r="V249" i="1"/>
  <c r="W249" i="1"/>
  <c r="X249" i="1"/>
  <c r="Y249" i="1"/>
  <c r="Z249" i="1"/>
  <c r="AA249" i="1"/>
  <c r="AB249" i="1"/>
  <c r="AC249" i="1"/>
  <c r="AD249" i="1"/>
  <c r="L250" i="1"/>
  <c r="M250" i="1"/>
  <c r="N250" i="1"/>
  <c r="O250" i="1"/>
  <c r="P250" i="1"/>
  <c r="Q250" i="1"/>
  <c r="R250" i="1"/>
  <c r="S250" i="1"/>
  <c r="T250" i="1"/>
  <c r="U250" i="1"/>
  <c r="V250" i="1"/>
  <c r="W250" i="1"/>
  <c r="X250" i="1"/>
  <c r="Y250" i="1"/>
  <c r="Z250" i="1"/>
  <c r="AA250" i="1"/>
  <c r="AB250" i="1"/>
  <c r="AC250" i="1"/>
  <c r="AD250" i="1"/>
  <c r="L251" i="1"/>
  <c r="M251" i="1"/>
  <c r="N251" i="1"/>
  <c r="O251" i="1"/>
  <c r="P251" i="1"/>
  <c r="Q251" i="1"/>
  <c r="R251" i="1"/>
  <c r="S251" i="1"/>
  <c r="T251" i="1"/>
  <c r="U251" i="1"/>
  <c r="V251" i="1"/>
  <c r="W251" i="1"/>
  <c r="X251" i="1"/>
  <c r="Y251" i="1"/>
  <c r="Z251" i="1"/>
  <c r="AA251" i="1"/>
  <c r="AB251" i="1"/>
  <c r="AC251" i="1"/>
  <c r="AD251" i="1"/>
  <c r="L252" i="1"/>
  <c r="M252" i="1"/>
  <c r="N252" i="1"/>
  <c r="O252" i="1"/>
  <c r="P252" i="1"/>
  <c r="Q252" i="1"/>
  <c r="R252" i="1"/>
  <c r="S252" i="1"/>
  <c r="T252" i="1"/>
  <c r="U252" i="1"/>
  <c r="V252" i="1"/>
  <c r="W252" i="1"/>
  <c r="X252" i="1"/>
  <c r="Y252" i="1"/>
  <c r="Z252" i="1"/>
  <c r="AA252" i="1"/>
  <c r="AB252" i="1"/>
  <c r="AC252" i="1"/>
  <c r="AD252" i="1"/>
  <c r="L253" i="1"/>
  <c r="M253" i="1"/>
  <c r="N253" i="1"/>
  <c r="O253" i="1"/>
  <c r="P253" i="1"/>
  <c r="Q253" i="1"/>
  <c r="R253" i="1"/>
  <c r="S253" i="1"/>
  <c r="T253" i="1"/>
  <c r="U253" i="1"/>
  <c r="V253" i="1"/>
  <c r="W253" i="1"/>
  <c r="X253" i="1"/>
  <c r="Y253" i="1"/>
  <c r="Z253" i="1"/>
  <c r="AA253" i="1"/>
  <c r="AB253" i="1"/>
  <c r="AC253" i="1"/>
  <c r="AD253" i="1"/>
  <c r="L254" i="1"/>
  <c r="M254" i="1"/>
  <c r="N254" i="1"/>
  <c r="O254" i="1"/>
  <c r="P254" i="1"/>
  <c r="Q254" i="1"/>
  <c r="R254" i="1"/>
  <c r="S254" i="1"/>
  <c r="T254" i="1"/>
  <c r="U254" i="1"/>
  <c r="V254" i="1"/>
  <c r="W254" i="1"/>
  <c r="X254" i="1"/>
  <c r="Y254" i="1"/>
  <c r="Z254" i="1"/>
  <c r="AA254" i="1"/>
  <c r="AB254" i="1"/>
  <c r="AC254" i="1"/>
  <c r="AD254" i="1"/>
  <c r="L255" i="1"/>
  <c r="M255" i="1"/>
  <c r="N255" i="1"/>
  <c r="O255" i="1"/>
  <c r="P255" i="1"/>
  <c r="Q255" i="1"/>
  <c r="R255" i="1"/>
  <c r="S255" i="1"/>
  <c r="T255" i="1"/>
  <c r="U255" i="1"/>
  <c r="V255" i="1"/>
  <c r="W255" i="1"/>
  <c r="X255" i="1"/>
  <c r="Y255" i="1"/>
  <c r="Z255" i="1"/>
  <c r="AA255" i="1"/>
  <c r="AB255" i="1"/>
  <c r="AC255" i="1"/>
  <c r="AD255" i="1"/>
  <c r="L256" i="1"/>
  <c r="M256" i="1"/>
  <c r="N256" i="1"/>
  <c r="O256" i="1"/>
  <c r="P256" i="1"/>
  <c r="Q256" i="1"/>
  <c r="R256" i="1"/>
  <c r="S256" i="1"/>
  <c r="T256" i="1"/>
  <c r="U256" i="1"/>
  <c r="V256" i="1"/>
  <c r="W256" i="1"/>
  <c r="X256" i="1"/>
  <c r="Y256" i="1"/>
  <c r="Z256" i="1"/>
  <c r="AA256" i="1"/>
  <c r="AB256" i="1"/>
  <c r="AC256" i="1"/>
  <c r="AD256" i="1"/>
  <c r="L257" i="1"/>
  <c r="M257" i="1"/>
  <c r="N257" i="1"/>
  <c r="O257" i="1"/>
  <c r="P257" i="1"/>
  <c r="Q257" i="1"/>
  <c r="R257" i="1"/>
  <c r="S257" i="1"/>
  <c r="T257" i="1"/>
  <c r="U257" i="1"/>
  <c r="V257" i="1"/>
  <c r="W257" i="1"/>
  <c r="X257" i="1"/>
  <c r="Y257" i="1"/>
  <c r="Z257" i="1"/>
  <c r="AA257" i="1"/>
  <c r="AB257" i="1"/>
  <c r="AC257" i="1"/>
  <c r="AD257" i="1"/>
  <c r="L258" i="1"/>
  <c r="M258" i="1"/>
  <c r="N258" i="1"/>
  <c r="O258" i="1"/>
  <c r="P258" i="1"/>
  <c r="Q258" i="1"/>
  <c r="R258" i="1"/>
  <c r="S258" i="1"/>
  <c r="T258" i="1"/>
  <c r="U258" i="1"/>
  <c r="V258" i="1"/>
  <c r="W258" i="1"/>
  <c r="X258" i="1"/>
  <c r="Y258" i="1"/>
  <c r="Z258" i="1"/>
  <c r="AA258" i="1"/>
  <c r="AB258" i="1"/>
  <c r="AC258" i="1"/>
  <c r="AD258" i="1"/>
  <c r="L259" i="1"/>
  <c r="M259" i="1"/>
  <c r="N259" i="1"/>
  <c r="O259" i="1"/>
  <c r="P259" i="1"/>
  <c r="Q259" i="1"/>
  <c r="R259" i="1"/>
  <c r="S259" i="1"/>
  <c r="T259" i="1"/>
  <c r="U259" i="1"/>
  <c r="V259" i="1"/>
  <c r="W259" i="1"/>
  <c r="X259" i="1"/>
  <c r="Y259" i="1"/>
  <c r="Z259" i="1"/>
  <c r="AA259" i="1"/>
  <c r="AB259" i="1"/>
  <c r="AC259" i="1"/>
  <c r="AD259" i="1"/>
  <c r="L260" i="1"/>
  <c r="M260" i="1"/>
  <c r="N260" i="1"/>
  <c r="O260" i="1"/>
  <c r="P260" i="1"/>
  <c r="Q260" i="1"/>
  <c r="R260" i="1"/>
  <c r="S260" i="1"/>
  <c r="T260" i="1"/>
  <c r="U260" i="1"/>
  <c r="V260" i="1"/>
  <c r="W260" i="1"/>
  <c r="X260" i="1"/>
  <c r="Y260" i="1"/>
  <c r="Z260" i="1"/>
  <c r="AA260" i="1"/>
  <c r="AB260" i="1"/>
  <c r="AC260" i="1"/>
  <c r="AD260" i="1"/>
  <c r="L261" i="1"/>
  <c r="M261" i="1"/>
  <c r="N261" i="1"/>
  <c r="O261" i="1"/>
  <c r="P261" i="1"/>
  <c r="Q261" i="1"/>
  <c r="R261" i="1"/>
  <c r="S261" i="1"/>
  <c r="T261" i="1"/>
  <c r="U261" i="1"/>
  <c r="V261" i="1"/>
  <c r="W261" i="1"/>
  <c r="X261" i="1"/>
  <c r="Y261" i="1"/>
  <c r="Z261" i="1"/>
  <c r="AA261" i="1"/>
  <c r="AB261" i="1"/>
  <c r="AC261" i="1"/>
  <c r="AD261" i="1"/>
  <c r="L262" i="1"/>
  <c r="M262" i="1"/>
  <c r="N262" i="1"/>
  <c r="O262" i="1"/>
  <c r="P262" i="1"/>
  <c r="Q262" i="1"/>
  <c r="R262" i="1"/>
  <c r="S262" i="1"/>
  <c r="T262" i="1"/>
  <c r="U262" i="1"/>
  <c r="V262" i="1"/>
  <c r="W262" i="1"/>
  <c r="X262" i="1"/>
  <c r="Y262" i="1"/>
  <c r="Z262" i="1"/>
  <c r="AA262" i="1"/>
  <c r="AB262" i="1"/>
  <c r="AC262" i="1"/>
  <c r="AD262" i="1"/>
  <c r="L263" i="1"/>
  <c r="M263" i="1"/>
  <c r="N263" i="1"/>
  <c r="O263" i="1"/>
  <c r="P263" i="1"/>
  <c r="Q263" i="1"/>
  <c r="R263" i="1"/>
  <c r="S263" i="1"/>
  <c r="T263" i="1"/>
  <c r="U263" i="1"/>
  <c r="V263" i="1"/>
  <c r="W263" i="1"/>
  <c r="X263" i="1"/>
  <c r="Y263" i="1"/>
  <c r="Z263" i="1"/>
  <c r="AA263" i="1"/>
  <c r="AB263" i="1"/>
  <c r="AC263" i="1"/>
  <c r="AD263" i="1"/>
  <c r="L264" i="1"/>
  <c r="M264" i="1"/>
  <c r="N264" i="1"/>
  <c r="O264" i="1"/>
  <c r="P264" i="1"/>
  <c r="Q264" i="1"/>
  <c r="R264" i="1"/>
  <c r="S264" i="1"/>
  <c r="T264" i="1"/>
  <c r="U264" i="1"/>
  <c r="V264" i="1"/>
  <c r="W264" i="1"/>
  <c r="X264" i="1"/>
  <c r="Y264" i="1"/>
  <c r="Z264" i="1"/>
  <c r="AA264" i="1"/>
  <c r="AB264" i="1"/>
  <c r="AC264" i="1"/>
  <c r="AD264" i="1"/>
  <c r="L265" i="1"/>
  <c r="M265" i="1"/>
  <c r="N265" i="1"/>
  <c r="O265" i="1"/>
  <c r="P265" i="1"/>
  <c r="Q265" i="1"/>
  <c r="R265" i="1"/>
  <c r="S265" i="1"/>
  <c r="T265" i="1"/>
  <c r="U265" i="1"/>
  <c r="V265" i="1"/>
  <c r="W265" i="1"/>
  <c r="X265" i="1"/>
  <c r="Y265" i="1"/>
  <c r="Z265" i="1"/>
  <c r="AA265" i="1"/>
  <c r="AB265" i="1"/>
  <c r="AC265" i="1"/>
  <c r="AD265" i="1"/>
  <c r="L266" i="1"/>
  <c r="M266" i="1"/>
  <c r="N266" i="1"/>
  <c r="O266" i="1"/>
  <c r="P266" i="1"/>
  <c r="Q266" i="1"/>
  <c r="R266" i="1"/>
  <c r="S266" i="1"/>
  <c r="T266" i="1"/>
  <c r="U266" i="1"/>
  <c r="V266" i="1"/>
  <c r="W266" i="1"/>
  <c r="X266" i="1"/>
  <c r="Y266" i="1"/>
  <c r="Z266" i="1"/>
  <c r="AA266" i="1"/>
  <c r="AB266" i="1"/>
  <c r="AC266" i="1"/>
  <c r="AD266" i="1"/>
  <c r="L267" i="1"/>
  <c r="M267" i="1"/>
  <c r="N267" i="1"/>
  <c r="O267" i="1"/>
  <c r="P267" i="1"/>
  <c r="Q267" i="1"/>
  <c r="R267" i="1"/>
  <c r="S267" i="1"/>
  <c r="T267" i="1"/>
  <c r="U267" i="1"/>
  <c r="V267" i="1"/>
  <c r="W267" i="1"/>
  <c r="X267" i="1"/>
  <c r="Y267" i="1"/>
  <c r="Z267" i="1"/>
  <c r="AA267" i="1"/>
  <c r="AB267" i="1"/>
  <c r="AC267" i="1"/>
  <c r="AD267" i="1"/>
  <c r="L268" i="1"/>
  <c r="M268" i="1"/>
  <c r="N268" i="1"/>
  <c r="O268" i="1"/>
  <c r="P268" i="1"/>
  <c r="Q268" i="1"/>
  <c r="R268" i="1"/>
  <c r="S268" i="1"/>
  <c r="T268" i="1"/>
  <c r="U268" i="1"/>
  <c r="V268" i="1"/>
  <c r="W268" i="1"/>
  <c r="X268" i="1"/>
  <c r="Y268" i="1"/>
  <c r="Z268" i="1"/>
  <c r="AA268" i="1"/>
  <c r="AB268" i="1"/>
  <c r="AC268" i="1"/>
  <c r="AD268" i="1"/>
  <c r="L269" i="1"/>
  <c r="M269" i="1"/>
  <c r="N269" i="1"/>
  <c r="O269" i="1"/>
  <c r="P269" i="1"/>
  <c r="Q269" i="1"/>
  <c r="R269" i="1"/>
  <c r="S269" i="1"/>
  <c r="T269" i="1"/>
  <c r="U269" i="1"/>
  <c r="V269" i="1"/>
  <c r="W269" i="1"/>
  <c r="X269" i="1"/>
  <c r="Y269" i="1"/>
  <c r="Z269" i="1"/>
  <c r="AA269" i="1"/>
  <c r="AB269" i="1"/>
  <c r="AC269" i="1"/>
  <c r="AD269" i="1"/>
  <c r="L270" i="1"/>
  <c r="M270" i="1"/>
  <c r="N270" i="1"/>
  <c r="O270" i="1"/>
  <c r="P270" i="1"/>
  <c r="Q270" i="1"/>
  <c r="R270" i="1"/>
  <c r="S270" i="1"/>
  <c r="T270" i="1"/>
  <c r="U270" i="1"/>
  <c r="V270" i="1"/>
  <c r="W270" i="1"/>
  <c r="X270" i="1"/>
  <c r="Y270" i="1"/>
  <c r="Z270" i="1"/>
  <c r="AA270" i="1"/>
  <c r="AB270" i="1"/>
  <c r="AC270" i="1"/>
  <c r="AD270" i="1"/>
  <c r="L271" i="1"/>
  <c r="M271" i="1"/>
  <c r="N271" i="1"/>
  <c r="O271" i="1"/>
  <c r="P271" i="1"/>
  <c r="Q271" i="1"/>
  <c r="R271" i="1"/>
  <c r="S271" i="1"/>
  <c r="T271" i="1"/>
  <c r="U271" i="1"/>
  <c r="V271" i="1"/>
  <c r="W271" i="1"/>
  <c r="X271" i="1"/>
  <c r="Y271" i="1"/>
  <c r="Z271" i="1"/>
  <c r="AA271" i="1"/>
  <c r="AB271" i="1"/>
  <c r="AC271" i="1"/>
  <c r="AD271" i="1"/>
  <c r="L272" i="1"/>
  <c r="M272" i="1"/>
  <c r="N272" i="1"/>
  <c r="O272" i="1"/>
  <c r="P272" i="1"/>
  <c r="Q272" i="1"/>
  <c r="R272" i="1"/>
  <c r="S272" i="1"/>
  <c r="T272" i="1"/>
  <c r="U272" i="1"/>
  <c r="V272" i="1"/>
  <c r="W272" i="1"/>
  <c r="X272" i="1"/>
  <c r="Y272" i="1"/>
  <c r="Z272" i="1"/>
  <c r="AA272" i="1"/>
  <c r="AB272" i="1"/>
  <c r="AC272" i="1"/>
  <c r="AD272" i="1"/>
  <c r="L273" i="1"/>
  <c r="M273" i="1"/>
  <c r="N273" i="1"/>
  <c r="O273" i="1"/>
  <c r="P273" i="1"/>
  <c r="Q273" i="1"/>
  <c r="R273" i="1"/>
  <c r="S273" i="1"/>
  <c r="T273" i="1"/>
  <c r="U273" i="1"/>
  <c r="V273" i="1"/>
  <c r="W273" i="1"/>
  <c r="X273" i="1"/>
  <c r="Y273" i="1"/>
  <c r="Z273" i="1"/>
  <c r="AA273" i="1"/>
  <c r="AB273" i="1"/>
  <c r="AC273" i="1"/>
  <c r="AD273" i="1"/>
  <c r="L274" i="1"/>
  <c r="M274" i="1"/>
  <c r="N274" i="1"/>
  <c r="O274" i="1"/>
  <c r="P274" i="1"/>
  <c r="Q274" i="1"/>
  <c r="R274" i="1"/>
  <c r="S274" i="1"/>
  <c r="T274" i="1"/>
  <c r="U274" i="1"/>
  <c r="V274" i="1"/>
  <c r="W274" i="1"/>
  <c r="X274" i="1"/>
  <c r="Y274" i="1"/>
  <c r="Z274" i="1"/>
  <c r="AA274" i="1"/>
  <c r="AB274" i="1"/>
  <c r="AC274" i="1"/>
  <c r="AD274" i="1"/>
  <c r="L275" i="1"/>
  <c r="M275" i="1"/>
  <c r="N275" i="1"/>
  <c r="O275" i="1"/>
  <c r="P275" i="1"/>
  <c r="Q275" i="1"/>
  <c r="R275" i="1"/>
  <c r="S275" i="1"/>
  <c r="T275" i="1"/>
  <c r="U275" i="1"/>
  <c r="V275" i="1"/>
  <c r="W275" i="1"/>
  <c r="X275" i="1"/>
  <c r="Y275" i="1"/>
  <c r="Z275" i="1"/>
  <c r="AA275" i="1"/>
  <c r="AB275" i="1"/>
  <c r="AC275" i="1"/>
  <c r="AD275" i="1"/>
  <c r="L276" i="1"/>
  <c r="M276" i="1"/>
  <c r="N276" i="1"/>
  <c r="O276" i="1"/>
  <c r="P276" i="1"/>
  <c r="Q276" i="1"/>
  <c r="R276" i="1"/>
  <c r="S276" i="1"/>
  <c r="T276" i="1"/>
  <c r="U276" i="1"/>
  <c r="V276" i="1"/>
  <c r="W276" i="1"/>
  <c r="X276" i="1"/>
  <c r="Y276" i="1"/>
  <c r="Z276" i="1"/>
  <c r="AA276" i="1"/>
  <c r="AB276" i="1"/>
  <c r="AC276" i="1"/>
  <c r="AD276" i="1"/>
  <c r="L277" i="1"/>
  <c r="M277" i="1"/>
  <c r="N277" i="1"/>
  <c r="O277" i="1"/>
  <c r="P277" i="1"/>
  <c r="Q277" i="1"/>
  <c r="R277" i="1"/>
  <c r="S277" i="1"/>
  <c r="T277" i="1"/>
  <c r="U277" i="1"/>
  <c r="V277" i="1"/>
  <c r="W277" i="1"/>
  <c r="X277" i="1"/>
  <c r="Y277" i="1"/>
  <c r="Z277" i="1"/>
  <c r="AA277" i="1"/>
  <c r="AB277" i="1"/>
  <c r="AC277" i="1"/>
  <c r="AD277" i="1"/>
  <c r="L278" i="1"/>
  <c r="M278" i="1"/>
  <c r="N278" i="1"/>
  <c r="O278" i="1"/>
  <c r="P278" i="1"/>
  <c r="Q278" i="1"/>
  <c r="R278" i="1"/>
  <c r="S278" i="1"/>
  <c r="T278" i="1"/>
  <c r="U278" i="1"/>
  <c r="V278" i="1"/>
  <c r="W278" i="1"/>
  <c r="X278" i="1"/>
  <c r="Y278" i="1"/>
  <c r="Z278" i="1"/>
  <c r="AA278" i="1"/>
  <c r="AB278" i="1"/>
  <c r="AC278" i="1"/>
  <c r="AD278" i="1"/>
  <c r="L279" i="1"/>
  <c r="M279" i="1"/>
  <c r="N279" i="1"/>
  <c r="O279" i="1"/>
  <c r="P279" i="1"/>
  <c r="Q279" i="1"/>
  <c r="R279" i="1"/>
  <c r="S279" i="1"/>
  <c r="T279" i="1"/>
  <c r="U279" i="1"/>
  <c r="V279" i="1"/>
  <c r="W279" i="1"/>
  <c r="X279" i="1"/>
  <c r="Y279" i="1"/>
  <c r="Z279" i="1"/>
  <c r="AA279" i="1"/>
  <c r="AB279" i="1"/>
  <c r="AC279" i="1"/>
  <c r="AD279" i="1"/>
  <c r="L280" i="1"/>
  <c r="M280" i="1"/>
  <c r="N280" i="1"/>
  <c r="O280" i="1"/>
  <c r="P280" i="1"/>
  <c r="Q280" i="1"/>
  <c r="R280" i="1"/>
  <c r="S280" i="1"/>
  <c r="T280" i="1"/>
  <c r="U280" i="1"/>
  <c r="V280" i="1"/>
  <c r="W280" i="1"/>
  <c r="X280" i="1"/>
  <c r="Y280" i="1"/>
  <c r="Z280" i="1"/>
  <c r="AA280" i="1"/>
  <c r="AB280" i="1"/>
  <c r="AC280" i="1"/>
  <c r="AD280" i="1"/>
  <c r="L281" i="1"/>
  <c r="M281" i="1"/>
  <c r="N281" i="1"/>
  <c r="O281" i="1"/>
  <c r="P281" i="1"/>
  <c r="Q281" i="1"/>
  <c r="R281" i="1"/>
  <c r="S281" i="1"/>
  <c r="T281" i="1"/>
  <c r="U281" i="1"/>
  <c r="V281" i="1"/>
  <c r="W281" i="1"/>
  <c r="X281" i="1"/>
  <c r="Y281" i="1"/>
  <c r="Z281" i="1"/>
  <c r="AA281" i="1"/>
  <c r="AB281" i="1"/>
  <c r="AC281" i="1"/>
  <c r="AD281" i="1"/>
  <c r="L282" i="1"/>
  <c r="M282" i="1"/>
  <c r="N282" i="1"/>
  <c r="O282" i="1"/>
  <c r="P282" i="1"/>
  <c r="Q282" i="1"/>
  <c r="R282" i="1"/>
  <c r="S282" i="1"/>
  <c r="T282" i="1"/>
  <c r="U282" i="1"/>
  <c r="V282" i="1"/>
  <c r="W282" i="1"/>
  <c r="X282" i="1"/>
  <c r="Y282" i="1"/>
  <c r="Z282" i="1"/>
  <c r="AA282" i="1"/>
  <c r="AB282" i="1"/>
  <c r="AC282" i="1"/>
  <c r="AD282" i="1"/>
  <c r="L283" i="1"/>
  <c r="M283" i="1"/>
  <c r="N283" i="1"/>
  <c r="O283" i="1"/>
  <c r="P283" i="1"/>
  <c r="Q283" i="1"/>
  <c r="R283" i="1"/>
  <c r="S283" i="1"/>
  <c r="T283" i="1"/>
  <c r="U283" i="1"/>
  <c r="V283" i="1"/>
  <c r="W283" i="1"/>
  <c r="X283" i="1"/>
  <c r="Y283" i="1"/>
  <c r="Z283" i="1"/>
  <c r="AA283" i="1"/>
  <c r="AB283" i="1"/>
  <c r="AC283" i="1"/>
  <c r="AD283" i="1"/>
  <c r="L284" i="1"/>
  <c r="M284" i="1"/>
  <c r="N284" i="1"/>
  <c r="O284" i="1"/>
  <c r="P284" i="1"/>
  <c r="Q284" i="1"/>
  <c r="R284" i="1"/>
  <c r="S284" i="1"/>
  <c r="T284" i="1"/>
  <c r="U284" i="1"/>
  <c r="V284" i="1"/>
  <c r="W284" i="1"/>
  <c r="X284" i="1"/>
  <c r="Y284" i="1"/>
  <c r="Z284" i="1"/>
  <c r="AA284" i="1"/>
  <c r="AB284" i="1"/>
  <c r="AC284" i="1"/>
  <c r="AD284" i="1"/>
  <c r="L285" i="1"/>
  <c r="M285" i="1"/>
  <c r="N285" i="1"/>
  <c r="O285" i="1"/>
  <c r="P285" i="1"/>
  <c r="Q285" i="1"/>
  <c r="R285" i="1"/>
  <c r="S285" i="1"/>
  <c r="T285" i="1"/>
  <c r="U285" i="1"/>
  <c r="V285" i="1"/>
  <c r="W285" i="1"/>
  <c r="X285" i="1"/>
  <c r="Y285" i="1"/>
  <c r="Z285" i="1"/>
  <c r="AA285" i="1"/>
  <c r="AB285" i="1"/>
  <c r="AC285" i="1"/>
  <c r="AD285" i="1"/>
  <c r="L286" i="1"/>
  <c r="M286" i="1"/>
  <c r="N286" i="1"/>
  <c r="O286" i="1"/>
  <c r="P286" i="1"/>
  <c r="Q286" i="1"/>
  <c r="R286" i="1"/>
  <c r="S286" i="1"/>
  <c r="T286" i="1"/>
  <c r="U286" i="1"/>
  <c r="V286" i="1"/>
  <c r="W286" i="1"/>
  <c r="X286" i="1"/>
  <c r="Y286" i="1"/>
  <c r="Z286" i="1"/>
  <c r="AA286" i="1"/>
  <c r="AB286" i="1"/>
  <c r="AC286" i="1"/>
  <c r="AD286" i="1"/>
  <c r="L287" i="1"/>
  <c r="M287" i="1"/>
  <c r="N287" i="1"/>
  <c r="O287" i="1"/>
  <c r="P287" i="1"/>
  <c r="Q287" i="1"/>
  <c r="R287" i="1"/>
  <c r="S287" i="1"/>
  <c r="T287" i="1"/>
  <c r="U287" i="1"/>
  <c r="V287" i="1"/>
  <c r="W287" i="1"/>
  <c r="X287" i="1"/>
  <c r="Y287" i="1"/>
  <c r="Z287" i="1"/>
  <c r="AA287" i="1"/>
  <c r="AB287" i="1"/>
  <c r="AC287" i="1"/>
  <c r="AD287" i="1"/>
  <c r="L288" i="1"/>
  <c r="M288" i="1"/>
  <c r="N288" i="1"/>
  <c r="O288" i="1"/>
  <c r="P288" i="1"/>
  <c r="Q288" i="1"/>
  <c r="R288" i="1"/>
  <c r="S288" i="1"/>
  <c r="T288" i="1"/>
  <c r="U288" i="1"/>
  <c r="V288" i="1"/>
  <c r="W288" i="1"/>
  <c r="X288" i="1"/>
  <c r="Y288" i="1"/>
  <c r="Z288" i="1"/>
  <c r="AA288" i="1"/>
  <c r="AB288" i="1"/>
  <c r="AC288" i="1"/>
  <c r="AD288" i="1"/>
  <c r="L289" i="1"/>
  <c r="M289" i="1"/>
  <c r="N289" i="1"/>
  <c r="O289" i="1"/>
  <c r="P289" i="1"/>
  <c r="Q289" i="1"/>
  <c r="R289" i="1"/>
  <c r="S289" i="1"/>
  <c r="T289" i="1"/>
  <c r="U289" i="1"/>
  <c r="V289" i="1"/>
  <c r="W289" i="1"/>
  <c r="X289" i="1"/>
  <c r="Y289" i="1"/>
  <c r="Z289" i="1"/>
  <c r="AA289" i="1"/>
  <c r="AB289" i="1"/>
  <c r="AC289" i="1"/>
  <c r="AD289" i="1"/>
  <c r="L290" i="1"/>
  <c r="M290" i="1"/>
  <c r="N290" i="1"/>
  <c r="O290" i="1"/>
  <c r="P290" i="1"/>
  <c r="Q290" i="1"/>
  <c r="R290" i="1"/>
  <c r="S290" i="1"/>
  <c r="T290" i="1"/>
  <c r="U290" i="1"/>
  <c r="V290" i="1"/>
  <c r="W290" i="1"/>
  <c r="X290" i="1"/>
  <c r="Y290" i="1"/>
  <c r="Z290" i="1"/>
  <c r="AA290" i="1"/>
  <c r="AB290" i="1"/>
  <c r="AC290" i="1"/>
  <c r="AD290" i="1"/>
  <c r="L291" i="1"/>
  <c r="M291" i="1"/>
  <c r="N291" i="1"/>
  <c r="O291" i="1"/>
  <c r="P291" i="1"/>
  <c r="Q291" i="1"/>
  <c r="R291" i="1"/>
  <c r="S291" i="1"/>
  <c r="T291" i="1"/>
  <c r="U291" i="1"/>
  <c r="V291" i="1"/>
  <c r="W291" i="1"/>
  <c r="X291" i="1"/>
  <c r="Y291" i="1"/>
  <c r="Z291" i="1"/>
  <c r="AA291" i="1"/>
  <c r="AB291" i="1"/>
  <c r="AC291" i="1"/>
  <c r="AD291" i="1"/>
  <c r="L292" i="1"/>
  <c r="M292" i="1"/>
  <c r="N292" i="1"/>
  <c r="O292" i="1"/>
  <c r="P292" i="1"/>
  <c r="Q292" i="1"/>
  <c r="R292" i="1"/>
  <c r="S292" i="1"/>
  <c r="T292" i="1"/>
  <c r="U292" i="1"/>
  <c r="V292" i="1"/>
  <c r="W292" i="1"/>
  <c r="X292" i="1"/>
  <c r="Y292" i="1"/>
  <c r="Z292" i="1"/>
  <c r="AA292" i="1"/>
  <c r="AB292" i="1"/>
  <c r="AC292" i="1"/>
  <c r="AD292" i="1"/>
  <c r="L293" i="1"/>
  <c r="M293" i="1"/>
  <c r="N293" i="1"/>
  <c r="O293" i="1"/>
  <c r="P293" i="1"/>
  <c r="Q293" i="1"/>
  <c r="R293" i="1"/>
  <c r="S293" i="1"/>
  <c r="T293" i="1"/>
  <c r="U293" i="1"/>
  <c r="V293" i="1"/>
  <c r="W293" i="1"/>
  <c r="X293" i="1"/>
  <c r="Y293" i="1"/>
  <c r="Z293" i="1"/>
  <c r="AA293" i="1"/>
  <c r="AB293" i="1"/>
  <c r="AC293" i="1"/>
  <c r="AD293" i="1"/>
  <c r="L294" i="1"/>
  <c r="M294" i="1"/>
  <c r="N294" i="1"/>
  <c r="O294" i="1"/>
  <c r="P294" i="1"/>
  <c r="Q294" i="1"/>
  <c r="R294" i="1"/>
  <c r="S294" i="1"/>
  <c r="T294" i="1"/>
  <c r="U294" i="1"/>
  <c r="V294" i="1"/>
  <c r="W294" i="1"/>
  <c r="X294" i="1"/>
  <c r="Y294" i="1"/>
  <c r="Z294" i="1"/>
  <c r="AA294" i="1"/>
  <c r="AB294" i="1"/>
  <c r="AC294" i="1"/>
  <c r="AD294" i="1"/>
  <c r="L295" i="1"/>
  <c r="M295" i="1"/>
  <c r="N295" i="1"/>
  <c r="O295" i="1"/>
  <c r="P295" i="1"/>
  <c r="Q295" i="1"/>
  <c r="R295" i="1"/>
  <c r="S295" i="1"/>
  <c r="T295" i="1"/>
  <c r="U295" i="1"/>
  <c r="V295" i="1"/>
  <c r="W295" i="1"/>
  <c r="X295" i="1"/>
  <c r="Y295" i="1"/>
  <c r="Z295" i="1"/>
  <c r="AA295" i="1"/>
  <c r="AB295" i="1"/>
  <c r="AC295" i="1"/>
  <c r="AD295" i="1"/>
  <c r="L296" i="1"/>
  <c r="M296" i="1"/>
  <c r="N296" i="1"/>
  <c r="O296" i="1"/>
  <c r="P296" i="1"/>
  <c r="Q296" i="1"/>
  <c r="R296" i="1"/>
  <c r="S296" i="1"/>
  <c r="T296" i="1"/>
  <c r="U296" i="1"/>
  <c r="V296" i="1"/>
  <c r="W296" i="1"/>
  <c r="X296" i="1"/>
  <c r="Y296" i="1"/>
  <c r="Z296" i="1"/>
  <c r="AA296" i="1"/>
  <c r="AB296" i="1"/>
  <c r="AC296" i="1"/>
  <c r="AD296" i="1"/>
  <c r="L297" i="1"/>
  <c r="M297" i="1"/>
  <c r="N297" i="1"/>
  <c r="O297" i="1"/>
  <c r="P297" i="1"/>
  <c r="Q297" i="1"/>
  <c r="R297" i="1"/>
  <c r="S297" i="1"/>
  <c r="T297" i="1"/>
  <c r="U297" i="1"/>
  <c r="V297" i="1"/>
  <c r="W297" i="1"/>
  <c r="X297" i="1"/>
  <c r="Y297" i="1"/>
  <c r="Z297" i="1"/>
  <c r="AA297" i="1"/>
  <c r="AB297" i="1"/>
  <c r="AC297" i="1"/>
  <c r="AD297" i="1"/>
  <c r="L298" i="1"/>
  <c r="M298" i="1"/>
  <c r="N298" i="1"/>
  <c r="O298" i="1"/>
  <c r="P298" i="1"/>
  <c r="Q298" i="1"/>
  <c r="R298" i="1"/>
  <c r="S298" i="1"/>
  <c r="T298" i="1"/>
  <c r="U298" i="1"/>
  <c r="V298" i="1"/>
  <c r="W298" i="1"/>
  <c r="X298" i="1"/>
  <c r="Y298" i="1"/>
  <c r="Z298" i="1"/>
  <c r="AA298" i="1"/>
  <c r="AB298" i="1"/>
  <c r="AC298" i="1"/>
  <c r="AD298" i="1"/>
  <c r="L299" i="1"/>
  <c r="M299" i="1"/>
  <c r="N299" i="1"/>
  <c r="O299" i="1"/>
  <c r="P299" i="1"/>
  <c r="Q299" i="1"/>
  <c r="R299" i="1"/>
  <c r="S299" i="1"/>
  <c r="T299" i="1"/>
  <c r="U299" i="1"/>
  <c r="V299" i="1"/>
  <c r="W299" i="1"/>
  <c r="X299" i="1"/>
  <c r="Y299" i="1"/>
  <c r="Z299" i="1"/>
  <c r="AA299" i="1"/>
  <c r="AB299" i="1"/>
  <c r="AC299" i="1"/>
  <c r="AD299" i="1"/>
  <c r="L300" i="1"/>
  <c r="M300" i="1"/>
  <c r="N300" i="1"/>
  <c r="O300" i="1"/>
  <c r="P300" i="1"/>
  <c r="Q300" i="1"/>
  <c r="R300" i="1"/>
  <c r="S300" i="1"/>
  <c r="T300" i="1"/>
  <c r="U300" i="1"/>
  <c r="V300" i="1"/>
  <c r="W300" i="1"/>
  <c r="X300" i="1"/>
  <c r="Y300" i="1"/>
  <c r="Z300" i="1"/>
  <c r="AA300" i="1"/>
  <c r="AB300" i="1"/>
  <c r="AC300" i="1"/>
  <c r="AD300" i="1"/>
  <c r="L301" i="1"/>
  <c r="M301" i="1"/>
  <c r="N301" i="1"/>
  <c r="O301" i="1"/>
  <c r="P301" i="1"/>
  <c r="Q301" i="1"/>
  <c r="R301" i="1"/>
  <c r="S301" i="1"/>
  <c r="T301" i="1"/>
  <c r="U301" i="1"/>
  <c r="V301" i="1"/>
  <c r="W301" i="1"/>
  <c r="X301" i="1"/>
  <c r="Y301" i="1"/>
  <c r="Z301" i="1"/>
  <c r="AA301" i="1"/>
  <c r="AB301" i="1"/>
  <c r="AC301" i="1"/>
  <c r="AD301" i="1"/>
  <c r="L302" i="1"/>
  <c r="M302" i="1"/>
  <c r="N302" i="1"/>
  <c r="O302" i="1"/>
  <c r="P302" i="1"/>
  <c r="Q302" i="1"/>
  <c r="R302" i="1"/>
  <c r="S302" i="1"/>
  <c r="T302" i="1"/>
  <c r="U302" i="1"/>
  <c r="V302" i="1"/>
  <c r="W302" i="1"/>
  <c r="X302" i="1"/>
  <c r="Y302" i="1"/>
  <c r="Z302" i="1"/>
  <c r="AA302" i="1"/>
  <c r="AB302" i="1"/>
  <c r="AC302" i="1"/>
  <c r="AD302" i="1"/>
  <c r="L303" i="1"/>
  <c r="M303" i="1"/>
  <c r="N303" i="1"/>
  <c r="O303" i="1"/>
  <c r="P303" i="1"/>
  <c r="Q303" i="1"/>
  <c r="R303" i="1"/>
  <c r="S303" i="1"/>
  <c r="T303" i="1"/>
  <c r="U303" i="1"/>
  <c r="V303" i="1"/>
  <c r="W303" i="1"/>
  <c r="X303" i="1"/>
  <c r="Y303" i="1"/>
  <c r="Z303" i="1"/>
  <c r="AA303" i="1"/>
  <c r="AB303" i="1"/>
  <c r="AC303" i="1"/>
  <c r="AD303" i="1"/>
  <c r="L304" i="1"/>
  <c r="M304" i="1"/>
  <c r="N304" i="1"/>
  <c r="O304" i="1"/>
  <c r="P304" i="1"/>
  <c r="Q304" i="1"/>
  <c r="R304" i="1"/>
  <c r="S304" i="1"/>
  <c r="T304" i="1"/>
  <c r="U304" i="1"/>
  <c r="V304" i="1"/>
  <c r="W304" i="1"/>
  <c r="X304" i="1"/>
  <c r="Y304" i="1"/>
  <c r="Z304" i="1"/>
  <c r="AA304" i="1"/>
  <c r="AB304" i="1"/>
  <c r="AC304" i="1"/>
  <c r="AD304" i="1"/>
  <c r="L305" i="1"/>
  <c r="M305" i="1"/>
  <c r="N305" i="1"/>
  <c r="O305" i="1"/>
  <c r="P305" i="1"/>
  <c r="Q305" i="1"/>
  <c r="R305" i="1"/>
  <c r="S305" i="1"/>
  <c r="T305" i="1"/>
  <c r="U305" i="1"/>
  <c r="V305" i="1"/>
  <c r="W305" i="1"/>
  <c r="X305" i="1"/>
  <c r="Y305" i="1"/>
  <c r="Z305" i="1"/>
  <c r="AA305" i="1"/>
  <c r="AB305" i="1"/>
  <c r="AC305" i="1"/>
  <c r="AD305" i="1"/>
  <c r="L306" i="1"/>
  <c r="M306" i="1"/>
  <c r="N306" i="1"/>
  <c r="O306" i="1"/>
  <c r="P306" i="1"/>
  <c r="Q306" i="1"/>
  <c r="R306" i="1"/>
  <c r="S306" i="1"/>
  <c r="T306" i="1"/>
  <c r="U306" i="1"/>
  <c r="V306" i="1"/>
  <c r="W306" i="1"/>
  <c r="X306" i="1"/>
  <c r="Y306" i="1"/>
  <c r="Z306" i="1"/>
  <c r="AA306" i="1"/>
  <c r="AB306" i="1"/>
  <c r="AC306" i="1"/>
  <c r="AD306" i="1"/>
  <c r="L307" i="1"/>
  <c r="M307" i="1"/>
  <c r="N307" i="1"/>
  <c r="O307" i="1"/>
  <c r="P307" i="1"/>
  <c r="Q307" i="1"/>
  <c r="R307" i="1"/>
  <c r="S307" i="1"/>
  <c r="T307" i="1"/>
  <c r="U307" i="1"/>
  <c r="V307" i="1"/>
  <c r="W307" i="1"/>
  <c r="X307" i="1"/>
  <c r="Y307" i="1"/>
  <c r="Z307" i="1"/>
  <c r="AA307" i="1"/>
  <c r="AB307" i="1"/>
  <c r="AC307" i="1"/>
  <c r="AD307" i="1"/>
  <c r="L308" i="1"/>
  <c r="M308" i="1"/>
  <c r="N308" i="1"/>
  <c r="O308" i="1"/>
  <c r="P308" i="1"/>
  <c r="Q308" i="1"/>
  <c r="R308" i="1"/>
  <c r="S308" i="1"/>
  <c r="T308" i="1"/>
  <c r="U308" i="1"/>
  <c r="V308" i="1"/>
  <c r="W308" i="1"/>
  <c r="X308" i="1"/>
  <c r="Y308" i="1"/>
  <c r="Z308" i="1"/>
  <c r="AA308" i="1"/>
  <c r="AB308" i="1"/>
  <c r="AC308" i="1"/>
  <c r="AD308" i="1"/>
  <c r="L309" i="1"/>
  <c r="M309" i="1"/>
  <c r="N309" i="1"/>
  <c r="O309" i="1"/>
  <c r="P309" i="1"/>
  <c r="Q309" i="1"/>
  <c r="R309" i="1"/>
  <c r="S309" i="1"/>
  <c r="T309" i="1"/>
  <c r="U309" i="1"/>
  <c r="V309" i="1"/>
  <c r="W309" i="1"/>
  <c r="X309" i="1"/>
  <c r="Y309" i="1"/>
  <c r="Z309" i="1"/>
  <c r="AA309" i="1"/>
  <c r="AB309" i="1"/>
  <c r="AC309" i="1"/>
  <c r="AD309" i="1"/>
  <c r="L310" i="1"/>
  <c r="M310" i="1"/>
  <c r="N310" i="1"/>
  <c r="O310" i="1"/>
  <c r="P310" i="1"/>
  <c r="Q310" i="1"/>
  <c r="R310" i="1"/>
  <c r="S310" i="1"/>
  <c r="T310" i="1"/>
  <c r="U310" i="1"/>
  <c r="V310" i="1"/>
  <c r="W310" i="1"/>
  <c r="X310" i="1"/>
  <c r="Y310" i="1"/>
  <c r="Z310" i="1"/>
  <c r="AA310" i="1"/>
  <c r="AB310" i="1"/>
  <c r="AC310" i="1"/>
  <c r="AD310" i="1"/>
  <c r="L311" i="1"/>
  <c r="M311" i="1"/>
  <c r="N311" i="1"/>
  <c r="O311" i="1"/>
  <c r="P311" i="1"/>
  <c r="Q311" i="1"/>
  <c r="R311" i="1"/>
  <c r="S311" i="1"/>
  <c r="T311" i="1"/>
  <c r="U311" i="1"/>
  <c r="V311" i="1"/>
  <c r="W311" i="1"/>
  <c r="X311" i="1"/>
  <c r="Y311" i="1"/>
  <c r="Z311" i="1"/>
  <c r="AA311" i="1"/>
  <c r="AB311" i="1"/>
  <c r="AC311" i="1"/>
  <c r="AD311" i="1"/>
  <c r="L312" i="1"/>
  <c r="M312" i="1"/>
  <c r="N312" i="1"/>
  <c r="O312" i="1"/>
  <c r="P312" i="1"/>
  <c r="Q312" i="1"/>
  <c r="R312" i="1"/>
  <c r="S312" i="1"/>
  <c r="T312" i="1"/>
  <c r="U312" i="1"/>
  <c r="V312" i="1"/>
  <c r="W312" i="1"/>
  <c r="X312" i="1"/>
  <c r="Y312" i="1"/>
  <c r="Z312" i="1"/>
  <c r="AA312" i="1"/>
  <c r="AB312" i="1"/>
  <c r="AC312" i="1"/>
  <c r="AD312" i="1"/>
  <c r="L313" i="1"/>
  <c r="M313" i="1"/>
  <c r="N313" i="1"/>
  <c r="O313" i="1"/>
  <c r="P313" i="1"/>
  <c r="Q313" i="1"/>
  <c r="R313" i="1"/>
  <c r="S313" i="1"/>
  <c r="T313" i="1"/>
  <c r="U313" i="1"/>
  <c r="V313" i="1"/>
  <c r="W313" i="1"/>
  <c r="X313" i="1"/>
  <c r="Y313" i="1"/>
  <c r="Z313" i="1"/>
  <c r="AA313" i="1"/>
  <c r="AB313" i="1"/>
  <c r="AC313" i="1"/>
  <c r="AD313" i="1"/>
  <c r="L314" i="1"/>
  <c r="M314" i="1"/>
  <c r="N314" i="1"/>
  <c r="O314" i="1"/>
  <c r="P314" i="1"/>
  <c r="Q314" i="1"/>
  <c r="R314" i="1"/>
  <c r="S314" i="1"/>
  <c r="T314" i="1"/>
  <c r="U314" i="1"/>
  <c r="V314" i="1"/>
  <c r="W314" i="1"/>
  <c r="X314" i="1"/>
  <c r="Y314" i="1"/>
  <c r="Z314" i="1"/>
  <c r="AA314" i="1"/>
  <c r="AB314" i="1"/>
  <c r="AC314" i="1"/>
  <c r="AD314" i="1"/>
  <c r="L315" i="1"/>
  <c r="M315" i="1"/>
  <c r="N315" i="1"/>
  <c r="O315" i="1"/>
  <c r="P315" i="1"/>
  <c r="Q315" i="1"/>
  <c r="R315" i="1"/>
  <c r="S315" i="1"/>
  <c r="T315" i="1"/>
  <c r="U315" i="1"/>
  <c r="V315" i="1"/>
  <c r="W315" i="1"/>
  <c r="X315" i="1"/>
  <c r="Y315" i="1"/>
  <c r="Z315" i="1"/>
  <c r="AA315" i="1"/>
  <c r="AB315" i="1"/>
  <c r="AC315" i="1"/>
  <c r="AD315" i="1"/>
  <c r="L316" i="1"/>
  <c r="M316" i="1"/>
  <c r="N316" i="1"/>
  <c r="O316" i="1"/>
  <c r="P316" i="1"/>
  <c r="Q316" i="1"/>
  <c r="R316" i="1"/>
  <c r="S316" i="1"/>
  <c r="T316" i="1"/>
  <c r="U316" i="1"/>
  <c r="V316" i="1"/>
  <c r="W316" i="1"/>
  <c r="X316" i="1"/>
  <c r="Y316" i="1"/>
  <c r="Z316" i="1"/>
  <c r="AA316" i="1"/>
  <c r="AB316" i="1"/>
  <c r="AC316" i="1"/>
  <c r="AD316" i="1"/>
  <c r="L317" i="1"/>
  <c r="M317" i="1"/>
  <c r="N317" i="1"/>
  <c r="O317" i="1"/>
  <c r="P317" i="1"/>
  <c r="Q317" i="1"/>
  <c r="R317" i="1"/>
  <c r="S317" i="1"/>
  <c r="T317" i="1"/>
  <c r="U317" i="1"/>
  <c r="V317" i="1"/>
  <c r="W317" i="1"/>
  <c r="X317" i="1"/>
  <c r="Y317" i="1"/>
  <c r="Z317" i="1"/>
  <c r="AA317" i="1"/>
  <c r="AB317" i="1"/>
  <c r="AC317" i="1"/>
  <c r="AD317" i="1"/>
  <c r="L318" i="1"/>
  <c r="M318" i="1"/>
  <c r="N318" i="1"/>
  <c r="O318" i="1"/>
  <c r="P318" i="1"/>
  <c r="Q318" i="1"/>
  <c r="R318" i="1"/>
  <c r="S318" i="1"/>
  <c r="T318" i="1"/>
  <c r="U318" i="1"/>
  <c r="V318" i="1"/>
  <c r="W318" i="1"/>
  <c r="X318" i="1"/>
  <c r="Y318" i="1"/>
  <c r="Z318" i="1"/>
  <c r="AA318" i="1"/>
  <c r="AB318" i="1"/>
  <c r="AC318" i="1"/>
  <c r="AD318" i="1"/>
  <c r="L319" i="1"/>
  <c r="M319" i="1"/>
  <c r="N319" i="1"/>
  <c r="O319" i="1"/>
  <c r="P319" i="1"/>
  <c r="Q319" i="1"/>
  <c r="R319" i="1"/>
  <c r="S319" i="1"/>
  <c r="T319" i="1"/>
  <c r="U319" i="1"/>
  <c r="V319" i="1"/>
  <c r="W319" i="1"/>
  <c r="X319" i="1"/>
  <c r="Y319" i="1"/>
  <c r="Z319" i="1"/>
  <c r="AA319" i="1"/>
  <c r="AB319" i="1"/>
  <c r="AC319" i="1"/>
  <c r="AD319" i="1"/>
  <c r="L320" i="1"/>
  <c r="M320" i="1"/>
  <c r="N320" i="1"/>
  <c r="O320" i="1"/>
  <c r="P320" i="1"/>
  <c r="Q320" i="1"/>
  <c r="R320" i="1"/>
  <c r="S320" i="1"/>
  <c r="T320" i="1"/>
  <c r="U320" i="1"/>
  <c r="V320" i="1"/>
  <c r="W320" i="1"/>
  <c r="X320" i="1"/>
  <c r="Y320" i="1"/>
  <c r="Z320" i="1"/>
  <c r="AA320" i="1"/>
  <c r="AB320" i="1"/>
  <c r="AC320" i="1"/>
  <c r="AD320" i="1"/>
  <c r="L321" i="1"/>
  <c r="M321" i="1"/>
  <c r="N321" i="1"/>
  <c r="O321" i="1"/>
  <c r="P321" i="1"/>
  <c r="Q321" i="1"/>
  <c r="R321" i="1"/>
  <c r="S321" i="1"/>
  <c r="T321" i="1"/>
  <c r="U321" i="1"/>
  <c r="V321" i="1"/>
  <c r="W321" i="1"/>
  <c r="X321" i="1"/>
  <c r="Y321" i="1"/>
  <c r="Z321" i="1"/>
  <c r="AA321" i="1"/>
  <c r="AB321" i="1"/>
  <c r="AC321" i="1"/>
  <c r="AD321" i="1"/>
  <c r="L322" i="1"/>
  <c r="M322" i="1"/>
  <c r="N322" i="1"/>
  <c r="O322" i="1"/>
  <c r="P322" i="1"/>
  <c r="Q322" i="1"/>
  <c r="R322" i="1"/>
  <c r="S322" i="1"/>
  <c r="T322" i="1"/>
  <c r="U322" i="1"/>
  <c r="V322" i="1"/>
  <c r="W322" i="1"/>
  <c r="X322" i="1"/>
  <c r="Y322" i="1"/>
  <c r="Z322" i="1"/>
  <c r="AA322" i="1"/>
  <c r="AB322" i="1"/>
  <c r="AC322" i="1"/>
  <c r="AD322" i="1"/>
  <c r="L323" i="1"/>
  <c r="M323" i="1"/>
  <c r="N323" i="1"/>
  <c r="O323" i="1"/>
  <c r="P323" i="1"/>
  <c r="Q323" i="1"/>
  <c r="R323" i="1"/>
  <c r="S323" i="1"/>
  <c r="T323" i="1"/>
  <c r="U323" i="1"/>
  <c r="V323" i="1"/>
  <c r="W323" i="1"/>
  <c r="X323" i="1"/>
  <c r="Y323" i="1"/>
  <c r="Z323" i="1"/>
  <c r="AA323" i="1"/>
  <c r="AB323" i="1"/>
  <c r="AC323" i="1"/>
  <c r="AD323" i="1"/>
  <c r="L324" i="1"/>
  <c r="M324" i="1"/>
  <c r="N324" i="1"/>
  <c r="O324" i="1"/>
  <c r="P324" i="1"/>
  <c r="Q324" i="1"/>
  <c r="R324" i="1"/>
  <c r="S324" i="1"/>
  <c r="T324" i="1"/>
  <c r="U324" i="1"/>
  <c r="V324" i="1"/>
  <c r="W324" i="1"/>
  <c r="X324" i="1"/>
  <c r="Y324" i="1"/>
  <c r="Z324" i="1"/>
  <c r="AA324" i="1"/>
  <c r="AB324" i="1"/>
  <c r="AC324" i="1"/>
  <c r="AD324" i="1"/>
  <c r="L325" i="1"/>
  <c r="M325" i="1"/>
  <c r="N325" i="1"/>
  <c r="O325" i="1"/>
  <c r="P325" i="1"/>
  <c r="Q325" i="1"/>
  <c r="R325" i="1"/>
  <c r="S325" i="1"/>
  <c r="T325" i="1"/>
  <c r="U325" i="1"/>
  <c r="V325" i="1"/>
  <c r="W325" i="1"/>
  <c r="X325" i="1"/>
  <c r="Y325" i="1"/>
  <c r="Z325" i="1"/>
  <c r="AA325" i="1"/>
  <c r="AB325" i="1"/>
  <c r="AC325" i="1"/>
  <c r="AD325" i="1"/>
  <c r="L326" i="1"/>
  <c r="M326" i="1"/>
  <c r="N326" i="1"/>
  <c r="O326" i="1"/>
  <c r="P326" i="1"/>
  <c r="Q326" i="1"/>
  <c r="R326" i="1"/>
  <c r="S326" i="1"/>
  <c r="T326" i="1"/>
  <c r="U326" i="1"/>
  <c r="V326" i="1"/>
  <c r="W326" i="1"/>
  <c r="X326" i="1"/>
  <c r="Y326" i="1"/>
  <c r="Z326" i="1"/>
  <c r="AA326" i="1"/>
  <c r="AB326" i="1"/>
  <c r="AC326" i="1"/>
  <c r="AD326" i="1"/>
  <c r="L327" i="1"/>
  <c r="M327" i="1"/>
  <c r="N327" i="1"/>
  <c r="O327" i="1"/>
  <c r="P327" i="1"/>
  <c r="Q327" i="1"/>
  <c r="R327" i="1"/>
  <c r="S327" i="1"/>
  <c r="T327" i="1"/>
  <c r="U327" i="1"/>
  <c r="V327" i="1"/>
  <c r="W327" i="1"/>
  <c r="X327" i="1"/>
  <c r="Y327" i="1"/>
  <c r="Z327" i="1"/>
  <c r="AA327" i="1"/>
  <c r="AB327" i="1"/>
  <c r="AC327" i="1"/>
  <c r="AD327" i="1"/>
  <c r="L328" i="1"/>
  <c r="M328" i="1"/>
  <c r="N328" i="1"/>
  <c r="O328" i="1"/>
  <c r="P328" i="1"/>
  <c r="Q328" i="1"/>
  <c r="R328" i="1"/>
  <c r="S328" i="1"/>
  <c r="T328" i="1"/>
  <c r="U328" i="1"/>
  <c r="V328" i="1"/>
  <c r="W328" i="1"/>
  <c r="X328" i="1"/>
  <c r="Y328" i="1"/>
  <c r="Z328" i="1"/>
  <c r="AA328" i="1"/>
  <c r="AB328" i="1"/>
  <c r="AC328" i="1"/>
  <c r="AD328" i="1"/>
  <c r="L329" i="1"/>
  <c r="M329" i="1"/>
  <c r="N329" i="1"/>
  <c r="O329" i="1"/>
  <c r="P329" i="1"/>
  <c r="Q329" i="1"/>
  <c r="R329" i="1"/>
  <c r="S329" i="1"/>
  <c r="T329" i="1"/>
  <c r="U329" i="1"/>
  <c r="V329" i="1"/>
  <c r="W329" i="1"/>
  <c r="X329" i="1"/>
  <c r="Y329" i="1"/>
  <c r="Z329" i="1"/>
  <c r="AA329" i="1"/>
  <c r="AB329" i="1"/>
  <c r="AC329" i="1"/>
  <c r="AD329" i="1"/>
  <c r="L330" i="1"/>
  <c r="M330" i="1"/>
  <c r="N330" i="1"/>
  <c r="O330" i="1"/>
  <c r="P330" i="1"/>
  <c r="Q330" i="1"/>
  <c r="R330" i="1"/>
  <c r="S330" i="1"/>
  <c r="T330" i="1"/>
  <c r="U330" i="1"/>
  <c r="V330" i="1"/>
  <c r="W330" i="1"/>
  <c r="X330" i="1"/>
  <c r="Y330" i="1"/>
  <c r="Z330" i="1"/>
  <c r="AA330" i="1"/>
  <c r="AB330" i="1"/>
  <c r="AC330" i="1"/>
  <c r="AD330" i="1"/>
  <c r="L331" i="1"/>
  <c r="M331" i="1"/>
  <c r="N331" i="1"/>
  <c r="O331" i="1"/>
  <c r="P331" i="1"/>
  <c r="Q331" i="1"/>
  <c r="R331" i="1"/>
  <c r="S331" i="1"/>
  <c r="T331" i="1"/>
  <c r="U331" i="1"/>
  <c r="V331" i="1"/>
  <c r="W331" i="1"/>
  <c r="X331" i="1"/>
  <c r="Y331" i="1"/>
  <c r="Z331" i="1"/>
  <c r="AA331" i="1"/>
  <c r="AB331" i="1"/>
  <c r="AC331" i="1"/>
  <c r="AD331" i="1"/>
  <c r="L332" i="1"/>
  <c r="M332" i="1"/>
  <c r="N332" i="1"/>
  <c r="O332" i="1"/>
  <c r="P332" i="1"/>
  <c r="Q332" i="1"/>
  <c r="R332" i="1"/>
  <c r="S332" i="1"/>
  <c r="T332" i="1"/>
  <c r="U332" i="1"/>
  <c r="V332" i="1"/>
  <c r="W332" i="1"/>
  <c r="X332" i="1"/>
  <c r="Y332" i="1"/>
  <c r="Z332" i="1"/>
  <c r="AA332" i="1"/>
  <c r="AB332" i="1"/>
  <c r="AC332" i="1"/>
  <c r="AD332" i="1"/>
  <c r="L333" i="1"/>
  <c r="M333" i="1"/>
  <c r="N333" i="1"/>
  <c r="O333" i="1"/>
  <c r="P333" i="1"/>
  <c r="Q333" i="1"/>
  <c r="R333" i="1"/>
  <c r="S333" i="1"/>
  <c r="T333" i="1"/>
  <c r="U333" i="1"/>
  <c r="V333" i="1"/>
  <c r="W333" i="1"/>
  <c r="X333" i="1"/>
  <c r="Y333" i="1"/>
  <c r="Z333" i="1"/>
  <c r="AA333" i="1"/>
  <c r="AB333" i="1"/>
  <c r="AC333" i="1"/>
  <c r="AD333" i="1"/>
  <c r="L334" i="1"/>
  <c r="M334" i="1"/>
  <c r="N334" i="1"/>
  <c r="O334" i="1"/>
  <c r="P334" i="1"/>
  <c r="Q334" i="1"/>
  <c r="R334" i="1"/>
  <c r="S334" i="1"/>
  <c r="T334" i="1"/>
  <c r="U334" i="1"/>
  <c r="V334" i="1"/>
  <c r="W334" i="1"/>
  <c r="X334" i="1"/>
  <c r="Y334" i="1"/>
  <c r="Z334" i="1"/>
  <c r="AA334" i="1"/>
  <c r="AB334" i="1"/>
  <c r="AC334" i="1"/>
  <c r="AD334" i="1"/>
  <c r="L335" i="1"/>
  <c r="M335" i="1"/>
  <c r="N335" i="1"/>
  <c r="O335" i="1"/>
  <c r="P335" i="1"/>
  <c r="Q335" i="1"/>
  <c r="R335" i="1"/>
  <c r="S335" i="1"/>
  <c r="T335" i="1"/>
  <c r="U335" i="1"/>
  <c r="V335" i="1"/>
  <c r="W335" i="1"/>
  <c r="X335" i="1"/>
  <c r="Y335" i="1"/>
  <c r="Z335" i="1"/>
  <c r="AA335" i="1"/>
  <c r="AB335" i="1"/>
  <c r="AC335" i="1"/>
  <c r="AD335" i="1"/>
  <c r="L336" i="1"/>
  <c r="M336" i="1"/>
  <c r="N336" i="1"/>
  <c r="O336" i="1"/>
  <c r="P336" i="1"/>
  <c r="Q336" i="1"/>
  <c r="R336" i="1"/>
  <c r="S336" i="1"/>
  <c r="T336" i="1"/>
  <c r="U336" i="1"/>
  <c r="V336" i="1"/>
  <c r="W336" i="1"/>
  <c r="X336" i="1"/>
  <c r="Y336" i="1"/>
  <c r="Z336" i="1"/>
  <c r="AA336" i="1"/>
  <c r="AB336" i="1"/>
  <c r="AC336" i="1"/>
  <c r="AD336" i="1"/>
  <c r="L337" i="1"/>
  <c r="M337" i="1"/>
  <c r="N337" i="1"/>
  <c r="O337" i="1"/>
  <c r="P337" i="1"/>
  <c r="Q337" i="1"/>
  <c r="R337" i="1"/>
  <c r="S337" i="1"/>
  <c r="T337" i="1"/>
  <c r="U337" i="1"/>
  <c r="V337" i="1"/>
  <c r="W337" i="1"/>
  <c r="X337" i="1"/>
  <c r="Y337" i="1"/>
  <c r="Z337" i="1"/>
  <c r="AA337" i="1"/>
  <c r="AB337" i="1"/>
  <c r="AC337" i="1"/>
  <c r="AD337" i="1"/>
  <c r="L338" i="1"/>
  <c r="M338" i="1"/>
  <c r="N338" i="1"/>
  <c r="O338" i="1"/>
  <c r="P338" i="1"/>
  <c r="Q338" i="1"/>
  <c r="R338" i="1"/>
  <c r="S338" i="1"/>
  <c r="T338" i="1"/>
  <c r="U338" i="1"/>
  <c r="V338" i="1"/>
  <c r="W338" i="1"/>
  <c r="X338" i="1"/>
  <c r="Y338" i="1"/>
  <c r="Z338" i="1"/>
  <c r="AA338" i="1"/>
  <c r="AB338" i="1"/>
  <c r="AC338" i="1"/>
  <c r="AD338" i="1"/>
  <c r="L339" i="1"/>
  <c r="M339" i="1"/>
  <c r="N339" i="1"/>
  <c r="O339" i="1"/>
  <c r="P339" i="1"/>
  <c r="Q339" i="1"/>
  <c r="R339" i="1"/>
  <c r="S339" i="1"/>
  <c r="T339" i="1"/>
  <c r="U339" i="1"/>
  <c r="V339" i="1"/>
  <c r="W339" i="1"/>
  <c r="X339" i="1"/>
  <c r="Y339" i="1"/>
  <c r="Z339" i="1"/>
  <c r="AA339" i="1"/>
  <c r="AB339" i="1"/>
  <c r="AC339" i="1"/>
  <c r="AD339" i="1"/>
  <c r="L340" i="1"/>
  <c r="M340" i="1"/>
  <c r="N340" i="1"/>
  <c r="O340" i="1"/>
  <c r="P340" i="1"/>
  <c r="Q340" i="1"/>
  <c r="R340" i="1"/>
  <c r="S340" i="1"/>
  <c r="T340" i="1"/>
  <c r="U340" i="1"/>
  <c r="V340" i="1"/>
  <c r="W340" i="1"/>
  <c r="X340" i="1"/>
  <c r="Y340" i="1"/>
  <c r="Z340" i="1"/>
  <c r="AA340" i="1"/>
  <c r="AB340" i="1"/>
  <c r="AC340" i="1"/>
  <c r="AD340" i="1"/>
  <c r="L341" i="1"/>
  <c r="M341" i="1"/>
  <c r="N341" i="1"/>
  <c r="O341" i="1"/>
  <c r="P341" i="1"/>
  <c r="Q341" i="1"/>
  <c r="R341" i="1"/>
  <c r="S341" i="1"/>
  <c r="T341" i="1"/>
  <c r="U341" i="1"/>
  <c r="V341" i="1"/>
  <c r="W341" i="1"/>
  <c r="X341" i="1"/>
  <c r="Y341" i="1"/>
  <c r="Z341" i="1"/>
  <c r="AA341" i="1"/>
  <c r="AB341" i="1"/>
  <c r="AC341" i="1"/>
  <c r="AD341" i="1"/>
  <c r="L342" i="1"/>
  <c r="M342" i="1"/>
  <c r="N342" i="1"/>
  <c r="O342" i="1"/>
  <c r="P342" i="1"/>
  <c r="Q342" i="1"/>
  <c r="R342" i="1"/>
  <c r="S342" i="1"/>
  <c r="T342" i="1"/>
  <c r="U342" i="1"/>
  <c r="V342" i="1"/>
  <c r="W342" i="1"/>
  <c r="X342" i="1"/>
  <c r="Y342" i="1"/>
  <c r="Z342" i="1"/>
  <c r="AA342" i="1"/>
  <c r="AB342" i="1"/>
  <c r="AC342" i="1"/>
  <c r="AD342" i="1"/>
  <c r="L343" i="1"/>
  <c r="M343" i="1"/>
  <c r="N343" i="1"/>
  <c r="O343" i="1"/>
  <c r="P343" i="1"/>
  <c r="Q343" i="1"/>
  <c r="R343" i="1"/>
  <c r="S343" i="1"/>
  <c r="T343" i="1"/>
  <c r="U343" i="1"/>
  <c r="V343" i="1"/>
  <c r="W343" i="1"/>
  <c r="X343" i="1"/>
  <c r="Y343" i="1"/>
  <c r="Z343" i="1"/>
  <c r="AA343" i="1"/>
  <c r="AB343" i="1"/>
  <c r="AC343" i="1"/>
  <c r="AD343" i="1"/>
  <c r="L344" i="1"/>
  <c r="M344" i="1"/>
  <c r="N344" i="1"/>
  <c r="O344" i="1"/>
  <c r="P344" i="1"/>
  <c r="Q344" i="1"/>
  <c r="R344" i="1"/>
  <c r="S344" i="1"/>
  <c r="T344" i="1"/>
  <c r="U344" i="1"/>
  <c r="V344" i="1"/>
  <c r="W344" i="1"/>
  <c r="X344" i="1"/>
  <c r="Y344" i="1"/>
  <c r="Z344" i="1"/>
  <c r="AA344" i="1"/>
  <c r="AB344" i="1"/>
  <c r="AC344" i="1"/>
  <c r="AD344" i="1"/>
  <c r="L345" i="1"/>
  <c r="M345" i="1"/>
  <c r="N345" i="1"/>
  <c r="O345" i="1"/>
  <c r="P345" i="1"/>
  <c r="Q345" i="1"/>
  <c r="R345" i="1"/>
  <c r="S345" i="1"/>
  <c r="T345" i="1"/>
  <c r="U345" i="1"/>
  <c r="V345" i="1"/>
  <c r="W345" i="1"/>
  <c r="X345" i="1"/>
  <c r="Y345" i="1"/>
  <c r="Z345" i="1"/>
  <c r="AA345" i="1"/>
  <c r="AB345" i="1"/>
  <c r="AC345" i="1"/>
  <c r="AD345" i="1"/>
  <c r="L346" i="1"/>
  <c r="M346" i="1"/>
  <c r="N346" i="1"/>
  <c r="O346" i="1"/>
  <c r="P346" i="1"/>
  <c r="Q346" i="1"/>
  <c r="R346" i="1"/>
  <c r="S346" i="1"/>
  <c r="T346" i="1"/>
  <c r="U346" i="1"/>
  <c r="V346" i="1"/>
  <c r="W346" i="1"/>
  <c r="X346" i="1"/>
  <c r="Y346" i="1"/>
  <c r="Z346" i="1"/>
  <c r="AA346" i="1"/>
  <c r="AB346" i="1"/>
  <c r="AC346" i="1"/>
  <c r="AD346" i="1"/>
  <c r="L347" i="1"/>
  <c r="M347" i="1"/>
  <c r="N347" i="1"/>
  <c r="O347" i="1"/>
  <c r="P347" i="1"/>
  <c r="Q347" i="1"/>
  <c r="R347" i="1"/>
  <c r="S347" i="1"/>
  <c r="T347" i="1"/>
  <c r="U347" i="1"/>
  <c r="V347" i="1"/>
  <c r="W347" i="1"/>
  <c r="X347" i="1"/>
  <c r="Y347" i="1"/>
  <c r="Z347" i="1"/>
  <c r="AA347" i="1"/>
  <c r="AB347" i="1"/>
  <c r="AC347" i="1"/>
  <c r="AD347" i="1"/>
  <c r="L348" i="1"/>
  <c r="M348" i="1"/>
  <c r="N348" i="1"/>
  <c r="O348" i="1"/>
  <c r="P348" i="1"/>
  <c r="Q348" i="1"/>
  <c r="R348" i="1"/>
  <c r="S348" i="1"/>
  <c r="T348" i="1"/>
  <c r="U348" i="1"/>
  <c r="V348" i="1"/>
  <c r="W348" i="1"/>
  <c r="X348" i="1"/>
  <c r="Y348" i="1"/>
  <c r="Z348" i="1"/>
  <c r="AA348" i="1"/>
  <c r="AB348" i="1"/>
  <c r="AC348" i="1"/>
  <c r="AD348" i="1"/>
  <c r="L349" i="1"/>
  <c r="M349" i="1"/>
  <c r="N349" i="1"/>
  <c r="O349" i="1"/>
  <c r="P349" i="1"/>
  <c r="Q349" i="1"/>
  <c r="R349" i="1"/>
  <c r="S349" i="1"/>
  <c r="T349" i="1"/>
  <c r="U349" i="1"/>
  <c r="V349" i="1"/>
  <c r="W349" i="1"/>
  <c r="X349" i="1"/>
  <c r="Y349" i="1"/>
  <c r="Z349" i="1"/>
  <c r="AA349" i="1"/>
  <c r="AB349" i="1"/>
  <c r="AC349" i="1"/>
  <c r="AD349" i="1"/>
  <c r="L350" i="1"/>
  <c r="M350" i="1"/>
  <c r="N350" i="1"/>
  <c r="O350" i="1"/>
  <c r="P350" i="1"/>
  <c r="Q350" i="1"/>
  <c r="R350" i="1"/>
  <c r="S350" i="1"/>
  <c r="T350" i="1"/>
  <c r="U350" i="1"/>
  <c r="V350" i="1"/>
  <c r="W350" i="1"/>
  <c r="X350" i="1"/>
  <c r="Y350" i="1"/>
  <c r="Z350" i="1"/>
  <c r="AA350" i="1"/>
  <c r="AB350" i="1"/>
  <c r="AC350" i="1"/>
  <c r="AD350" i="1"/>
  <c r="L351" i="1"/>
  <c r="M351" i="1"/>
  <c r="N351" i="1"/>
  <c r="O351" i="1"/>
  <c r="P351" i="1"/>
  <c r="Q351" i="1"/>
  <c r="R351" i="1"/>
  <c r="S351" i="1"/>
  <c r="T351" i="1"/>
  <c r="U351" i="1"/>
  <c r="V351" i="1"/>
  <c r="W351" i="1"/>
  <c r="X351" i="1"/>
  <c r="Y351" i="1"/>
  <c r="Z351" i="1"/>
  <c r="AA351" i="1"/>
  <c r="AB351" i="1"/>
  <c r="AC351" i="1"/>
  <c r="AD351" i="1"/>
  <c r="L352" i="1"/>
  <c r="M352" i="1"/>
  <c r="N352" i="1"/>
  <c r="O352" i="1"/>
  <c r="P352" i="1"/>
  <c r="Q352" i="1"/>
  <c r="R352" i="1"/>
  <c r="S352" i="1"/>
  <c r="T352" i="1"/>
  <c r="U352" i="1"/>
  <c r="V352" i="1"/>
  <c r="W352" i="1"/>
  <c r="X352" i="1"/>
  <c r="Y352" i="1"/>
  <c r="Z352" i="1"/>
  <c r="AA352" i="1"/>
  <c r="AB352" i="1"/>
  <c r="AC352" i="1"/>
  <c r="AD352" i="1"/>
  <c r="L353" i="1"/>
  <c r="M353" i="1"/>
  <c r="N353" i="1"/>
  <c r="O353" i="1"/>
  <c r="P353" i="1"/>
  <c r="Q353" i="1"/>
  <c r="R353" i="1"/>
  <c r="S353" i="1"/>
  <c r="T353" i="1"/>
  <c r="U353" i="1"/>
  <c r="V353" i="1"/>
  <c r="W353" i="1"/>
  <c r="X353" i="1"/>
  <c r="Y353" i="1"/>
  <c r="Z353" i="1"/>
  <c r="AA353" i="1"/>
  <c r="AB353" i="1"/>
  <c r="AC353" i="1"/>
  <c r="AD353" i="1"/>
  <c r="L354" i="1"/>
  <c r="M354" i="1"/>
  <c r="N354" i="1"/>
  <c r="O354" i="1"/>
  <c r="P354" i="1"/>
  <c r="Q354" i="1"/>
  <c r="R354" i="1"/>
  <c r="S354" i="1"/>
  <c r="T354" i="1"/>
  <c r="U354" i="1"/>
  <c r="V354" i="1"/>
  <c r="W354" i="1"/>
  <c r="X354" i="1"/>
  <c r="Y354" i="1"/>
  <c r="Z354" i="1"/>
  <c r="AA354" i="1"/>
  <c r="AB354" i="1"/>
  <c r="AC354" i="1"/>
  <c r="AD354" i="1"/>
  <c r="L355" i="1"/>
  <c r="M355" i="1"/>
  <c r="N355" i="1"/>
  <c r="O355" i="1"/>
  <c r="P355" i="1"/>
  <c r="Q355" i="1"/>
  <c r="R355" i="1"/>
  <c r="S355" i="1"/>
  <c r="T355" i="1"/>
  <c r="U355" i="1"/>
  <c r="V355" i="1"/>
  <c r="W355" i="1"/>
  <c r="X355" i="1"/>
  <c r="Y355" i="1"/>
  <c r="Z355" i="1"/>
  <c r="AA355" i="1"/>
  <c r="AB355" i="1"/>
  <c r="AC355" i="1"/>
  <c r="AD355" i="1"/>
  <c r="L356" i="1"/>
  <c r="M356" i="1"/>
  <c r="N356" i="1"/>
  <c r="O356" i="1"/>
  <c r="P356" i="1"/>
  <c r="Q356" i="1"/>
  <c r="R356" i="1"/>
  <c r="S356" i="1"/>
  <c r="T356" i="1"/>
  <c r="U356" i="1"/>
  <c r="V356" i="1"/>
  <c r="W356" i="1"/>
  <c r="X356" i="1"/>
  <c r="Y356" i="1"/>
  <c r="Z356" i="1"/>
  <c r="AA356" i="1"/>
  <c r="AB356" i="1"/>
  <c r="AC356" i="1"/>
  <c r="AD356" i="1"/>
  <c r="L357" i="1"/>
  <c r="M357" i="1"/>
  <c r="N357" i="1"/>
  <c r="O357" i="1"/>
  <c r="P357" i="1"/>
  <c r="Q357" i="1"/>
  <c r="R357" i="1"/>
  <c r="S357" i="1"/>
  <c r="T357" i="1"/>
  <c r="U357" i="1"/>
  <c r="V357" i="1"/>
  <c r="W357" i="1"/>
  <c r="X357" i="1"/>
  <c r="Y357" i="1"/>
  <c r="Z357" i="1"/>
  <c r="AA357" i="1"/>
  <c r="AB357" i="1"/>
  <c r="AC357" i="1"/>
  <c r="AD357" i="1"/>
  <c r="L358" i="1"/>
  <c r="M358" i="1"/>
  <c r="N358" i="1"/>
  <c r="O358" i="1"/>
  <c r="P358" i="1"/>
  <c r="Q358" i="1"/>
  <c r="R358" i="1"/>
  <c r="S358" i="1"/>
  <c r="T358" i="1"/>
  <c r="U358" i="1"/>
  <c r="V358" i="1"/>
  <c r="W358" i="1"/>
  <c r="X358" i="1"/>
  <c r="Y358" i="1"/>
  <c r="Z358" i="1"/>
  <c r="AA358" i="1"/>
  <c r="AB358" i="1"/>
  <c r="AC358" i="1"/>
  <c r="AD358" i="1"/>
  <c r="L359" i="1"/>
  <c r="M359" i="1"/>
  <c r="N359" i="1"/>
  <c r="O359" i="1"/>
  <c r="P359" i="1"/>
  <c r="Q359" i="1"/>
  <c r="R359" i="1"/>
  <c r="S359" i="1"/>
  <c r="T359" i="1"/>
  <c r="U359" i="1"/>
  <c r="V359" i="1"/>
  <c r="W359" i="1"/>
  <c r="X359" i="1"/>
  <c r="Y359" i="1"/>
  <c r="Z359" i="1"/>
  <c r="AA359" i="1"/>
  <c r="AB359" i="1"/>
  <c r="AC359" i="1"/>
  <c r="AD359" i="1"/>
  <c r="L360" i="1"/>
  <c r="M360" i="1"/>
  <c r="N360" i="1"/>
  <c r="O360" i="1"/>
  <c r="P360" i="1"/>
  <c r="Q360" i="1"/>
  <c r="R360" i="1"/>
  <c r="S360" i="1"/>
  <c r="T360" i="1"/>
  <c r="U360" i="1"/>
  <c r="V360" i="1"/>
  <c r="W360" i="1"/>
  <c r="X360" i="1"/>
  <c r="Y360" i="1"/>
  <c r="Z360" i="1"/>
  <c r="AA360" i="1"/>
  <c r="AB360" i="1"/>
  <c r="AC360" i="1"/>
  <c r="AD360" i="1"/>
  <c r="L361" i="1"/>
  <c r="M361" i="1"/>
  <c r="N361" i="1"/>
  <c r="O361" i="1"/>
  <c r="P361" i="1"/>
  <c r="Q361" i="1"/>
  <c r="R361" i="1"/>
  <c r="S361" i="1"/>
  <c r="T361" i="1"/>
  <c r="U361" i="1"/>
  <c r="V361" i="1"/>
  <c r="W361" i="1"/>
  <c r="X361" i="1"/>
  <c r="Y361" i="1"/>
  <c r="Z361" i="1"/>
  <c r="AA361" i="1"/>
  <c r="AB361" i="1"/>
  <c r="AC361" i="1"/>
  <c r="AD361" i="1"/>
  <c r="L362" i="1"/>
  <c r="M362" i="1"/>
  <c r="N362" i="1"/>
  <c r="O362" i="1"/>
  <c r="P362" i="1"/>
  <c r="Q362" i="1"/>
  <c r="R362" i="1"/>
  <c r="S362" i="1"/>
  <c r="T362" i="1"/>
  <c r="U362" i="1"/>
  <c r="V362" i="1"/>
  <c r="W362" i="1"/>
  <c r="X362" i="1"/>
  <c r="Y362" i="1"/>
  <c r="Z362" i="1"/>
  <c r="AA362" i="1"/>
  <c r="AB362" i="1"/>
  <c r="AC362" i="1"/>
  <c r="AD362" i="1"/>
  <c r="L363" i="1"/>
  <c r="M363" i="1"/>
  <c r="N363" i="1"/>
  <c r="O363" i="1"/>
  <c r="P363" i="1"/>
  <c r="Q363" i="1"/>
  <c r="R363" i="1"/>
  <c r="S363" i="1"/>
  <c r="T363" i="1"/>
  <c r="U363" i="1"/>
  <c r="V363" i="1"/>
  <c r="W363" i="1"/>
  <c r="X363" i="1"/>
  <c r="Y363" i="1"/>
  <c r="Z363" i="1"/>
  <c r="AA363" i="1"/>
  <c r="AB363" i="1"/>
  <c r="AC363" i="1"/>
  <c r="AD363" i="1"/>
  <c r="L364" i="1"/>
  <c r="M364" i="1"/>
  <c r="N364" i="1"/>
  <c r="O364" i="1"/>
  <c r="P364" i="1"/>
  <c r="Q364" i="1"/>
  <c r="R364" i="1"/>
  <c r="S364" i="1"/>
  <c r="T364" i="1"/>
  <c r="U364" i="1"/>
  <c r="V364" i="1"/>
  <c r="W364" i="1"/>
  <c r="X364" i="1"/>
  <c r="Y364" i="1"/>
  <c r="Z364" i="1"/>
  <c r="AA364" i="1"/>
  <c r="AB364" i="1"/>
  <c r="AC364" i="1"/>
  <c r="AD364" i="1"/>
  <c r="L365" i="1"/>
  <c r="M365" i="1"/>
  <c r="N365" i="1"/>
  <c r="O365" i="1"/>
  <c r="P365" i="1"/>
  <c r="Q365" i="1"/>
  <c r="R365" i="1"/>
  <c r="S365" i="1"/>
  <c r="T365" i="1"/>
  <c r="U365" i="1"/>
  <c r="V365" i="1"/>
  <c r="W365" i="1"/>
  <c r="X365" i="1"/>
  <c r="Y365" i="1"/>
  <c r="Z365" i="1"/>
  <c r="AA365" i="1"/>
  <c r="AB365" i="1"/>
  <c r="AC365" i="1"/>
  <c r="AD365" i="1"/>
  <c r="L366" i="1"/>
  <c r="M366" i="1"/>
  <c r="N366" i="1"/>
  <c r="O366" i="1"/>
  <c r="P366" i="1"/>
  <c r="Q366" i="1"/>
  <c r="R366" i="1"/>
  <c r="S366" i="1"/>
  <c r="T366" i="1"/>
  <c r="U366" i="1"/>
  <c r="V366" i="1"/>
  <c r="W366" i="1"/>
  <c r="X366" i="1"/>
  <c r="Y366" i="1"/>
  <c r="Z366" i="1"/>
  <c r="AA366" i="1"/>
  <c r="AB366" i="1"/>
  <c r="AC366" i="1"/>
  <c r="AD366" i="1"/>
  <c r="L367" i="1"/>
  <c r="M367" i="1"/>
  <c r="N367" i="1"/>
  <c r="O367" i="1"/>
  <c r="P367" i="1"/>
  <c r="Q367" i="1"/>
  <c r="R367" i="1"/>
  <c r="S367" i="1"/>
  <c r="T367" i="1"/>
  <c r="U367" i="1"/>
  <c r="V367" i="1"/>
  <c r="W367" i="1"/>
  <c r="X367" i="1"/>
  <c r="Y367" i="1"/>
  <c r="Z367" i="1"/>
  <c r="AA367" i="1"/>
  <c r="AB367" i="1"/>
  <c r="AC367" i="1"/>
  <c r="AD367" i="1"/>
  <c r="L368" i="1"/>
  <c r="M368" i="1"/>
  <c r="N368" i="1"/>
  <c r="O368" i="1"/>
  <c r="P368" i="1"/>
  <c r="Q368" i="1"/>
  <c r="R368" i="1"/>
  <c r="S368" i="1"/>
  <c r="T368" i="1"/>
  <c r="U368" i="1"/>
  <c r="V368" i="1"/>
  <c r="W368" i="1"/>
  <c r="X368" i="1"/>
  <c r="Y368" i="1"/>
  <c r="Z368" i="1"/>
  <c r="AA368" i="1"/>
  <c r="AB368" i="1"/>
  <c r="AC368" i="1"/>
  <c r="AD368" i="1"/>
  <c r="AC12" i="1"/>
  <c r="AD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A12" i="1"/>
  <c r="AB12" i="1"/>
  <c r="L12" i="1"/>
  <c r="A4" i="3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L10" i="1" l="1"/>
  <c r="AI13" i="1" l="1"/>
  <c r="AJ13" i="1"/>
  <c r="AK13" i="1"/>
  <c r="AL13" i="1"/>
  <c r="AM13" i="1"/>
  <c r="AN13" i="1"/>
  <c r="AO13" i="1"/>
  <c r="AP13" i="1"/>
  <c r="AQ13" i="1"/>
  <c r="AR13" i="1"/>
  <c r="AS13" i="1"/>
  <c r="AT13" i="1"/>
  <c r="AU13" i="1"/>
  <c r="AV13" i="1"/>
  <c r="AW13" i="1"/>
  <c r="AX13" i="1"/>
  <c r="AY13" i="1"/>
  <c r="AZ13" i="1"/>
  <c r="BA13" i="1"/>
  <c r="AI14" i="1"/>
  <c r="AJ14" i="1"/>
  <c r="AK14" i="1"/>
  <c r="AL14" i="1"/>
  <c r="AM14" i="1"/>
  <c r="AN14" i="1"/>
  <c r="AO14" i="1"/>
  <c r="AP14" i="1"/>
  <c r="AQ14" i="1"/>
  <c r="AR14" i="1"/>
  <c r="AS14" i="1"/>
  <c r="AT14" i="1"/>
  <c r="AU14" i="1"/>
  <c r="AV14" i="1"/>
  <c r="AW14" i="1"/>
  <c r="AX14" i="1"/>
  <c r="AY14" i="1"/>
  <c r="AZ14" i="1"/>
  <c r="BA14" i="1"/>
  <c r="AI15" i="1"/>
  <c r="AJ15" i="1"/>
  <c r="AK15" i="1"/>
  <c r="AL15" i="1"/>
  <c r="AM15" i="1"/>
  <c r="AN15" i="1"/>
  <c r="AO15" i="1"/>
  <c r="AP15" i="1"/>
  <c r="AQ15" i="1"/>
  <c r="AR15" i="1"/>
  <c r="AS15" i="1"/>
  <c r="AT15" i="1"/>
  <c r="AU15" i="1"/>
  <c r="AV15" i="1"/>
  <c r="AW15" i="1"/>
  <c r="AX15" i="1"/>
  <c r="AY15" i="1"/>
  <c r="AZ15" i="1"/>
  <c r="BA15" i="1"/>
  <c r="AI16" i="1"/>
  <c r="AJ16" i="1"/>
  <c r="AK16" i="1"/>
  <c r="AL16" i="1"/>
  <c r="AM16" i="1"/>
  <c r="AN16" i="1"/>
  <c r="AO16" i="1"/>
  <c r="AP16" i="1"/>
  <c r="AQ16" i="1"/>
  <c r="AR16" i="1"/>
  <c r="AS16" i="1"/>
  <c r="AT16" i="1"/>
  <c r="AU16" i="1"/>
  <c r="AV16" i="1"/>
  <c r="AW16" i="1"/>
  <c r="AX16" i="1"/>
  <c r="AY16" i="1"/>
  <c r="AZ16" i="1"/>
  <c r="BA16" i="1"/>
  <c r="AI17" i="1"/>
  <c r="AJ17" i="1"/>
  <c r="AK17" i="1"/>
  <c r="AL17" i="1"/>
  <c r="AM17" i="1"/>
  <c r="AN17" i="1"/>
  <c r="AO17" i="1"/>
  <c r="AP17" i="1"/>
  <c r="AQ17" i="1"/>
  <c r="AR17" i="1"/>
  <c r="AS17" i="1"/>
  <c r="AT17" i="1"/>
  <c r="AU17" i="1"/>
  <c r="AV17" i="1"/>
  <c r="AW17" i="1"/>
  <c r="AX17" i="1"/>
  <c r="AY17" i="1"/>
  <c r="AZ17" i="1"/>
  <c r="BA17" i="1"/>
  <c r="AI18" i="1"/>
  <c r="AJ18" i="1"/>
  <c r="AK18" i="1"/>
  <c r="AL18" i="1"/>
  <c r="AM18" i="1"/>
  <c r="AN18" i="1"/>
  <c r="AO18" i="1"/>
  <c r="AP18" i="1"/>
  <c r="AQ18" i="1"/>
  <c r="AR18" i="1"/>
  <c r="AS18" i="1"/>
  <c r="AT18" i="1"/>
  <c r="AU18" i="1"/>
  <c r="AV18" i="1"/>
  <c r="AW18" i="1"/>
  <c r="AX18" i="1"/>
  <c r="AY18" i="1"/>
  <c r="AZ18" i="1"/>
  <c r="BA18" i="1"/>
  <c r="AI19" i="1"/>
  <c r="AJ19" i="1"/>
  <c r="AK19" i="1"/>
  <c r="AL19" i="1"/>
  <c r="AM19" i="1"/>
  <c r="AN19" i="1"/>
  <c r="AO19" i="1"/>
  <c r="AP19" i="1"/>
  <c r="AQ19" i="1"/>
  <c r="AR19" i="1"/>
  <c r="AS19" i="1"/>
  <c r="AT19" i="1"/>
  <c r="AU19" i="1"/>
  <c r="AV19" i="1"/>
  <c r="AW19" i="1"/>
  <c r="AX19" i="1"/>
  <c r="AY19" i="1"/>
  <c r="AZ19" i="1"/>
  <c r="BA19" i="1"/>
  <c r="AI20" i="1"/>
  <c r="AJ20" i="1"/>
  <c r="AK20" i="1"/>
  <c r="AL20" i="1"/>
  <c r="AM20" i="1"/>
  <c r="AN20" i="1"/>
  <c r="AO20" i="1"/>
  <c r="AP20" i="1"/>
  <c r="AQ20" i="1"/>
  <c r="AR20" i="1"/>
  <c r="AS20" i="1"/>
  <c r="AT20" i="1"/>
  <c r="AU20" i="1"/>
  <c r="AV20" i="1"/>
  <c r="AW20" i="1"/>
  <c r="AX20" i="1"/>
  <c r="AY20" i="1"/>
  <c r="AZ20" i="1"/>
  <c r="BA20" i="1"/>
  <c r="AI21" i="1"/>
  <c r="AJ21" i="1"/>
  <c r="AK21" i="1"/>
  <c r="AL21" i="1"/>
  <c r="AM21" i="1"/>
  <c r="AN21" i="1"/>
  <c r="AO21" i="1"/>
  <c r="AP21" i="1"/>
  <c r="AQ21" i="1"/>
  <c r="AR21" i="1"/>
  <c r="AS21" i="1"/>
  <c r="AT21" i="1"/>
  <c r="AU21" i="1"/>
  <c r="AV21" i="1"/>
  <c r="AW21" i="1"/>
  <c r="AX21" i="1"/>
  <c r="AY21" i="1"/>
  <c r="AZ21" i="1"/>
  <c r="BA21" i="1"/>
  <c r="AI22" i="1"/>
  <c r="AJ22" i="1"/>
  <c r="AK22" i="1"/>
  <c r="AL22" i="1"/>
  <c r="AM22" i="1"/>
  <c r="AN22" i="1"/>
  <c r="AO22" i="1"/>
  <c r="AP22" i="1"/>
  <c r="AQ22" i="1"/>
  <c r="AR22" i="1"/>
  <c r="AS22" i="1"/>
  <c r="AT22" i="1"/>
  <c r="AU22" i="1"/>
  <c r="AV22" i="1"/>
  <c r="AW22" i="1"/>
  <c r="AX22" i="1"/>
  <c r="AY22" i="1"/>
  <c r="AZ22" i="1"/>
  <c r="BA22" i="1"/>
  <c r="AI23" i="1"/>
  <c r="AJ23" i="1"/>
  <c r="AK23" i="1"/>
  <c r="AL23" i="1"/>
  <c r="AM23" i="1"/>
  <c r="AN23" i="1"/>
  <c r="AO23" i="1"/>
  <c r="AP23" i="1"/>
  <c r="AQ23" i="1"/>
  <c r="AR23" i="1"/>
  <c r="AS23" i="1"/>
  <c r="AT23" i="1"/>
  <c r="AU23" i="1"/>
  <c r="AV23" i="1"/>
  <c r="AW23" i="1"/>
  <c r="AX23" i="1"/>
  <c r="AY23" i="1"/>
  <c r="AZ23" i="1"/>
  <c r="BA23" i="1"/>
  <c r="AJ12" i="1"/>
  <c r="AK12" i="1"/>
  <c r="AL12" i="1"/>
  <c r="AM12" i="1"/>
  <c r="AN12" i="1"/>
  <c r="AO12" i="1"/>
  <c r="AP12" i="1"/>
  <c r="AQ12" i="1"/>
  <c r="AR12" i="1"/>
  <c r="AS12" i="1"/>
  <c r="AT12" i="1"/>
  <c r="AU12" i="1"/>
  <c r="AV12" i="1"/>
  <c r="AW12" i="1"/>
  <c r="AX12" i="1"/>
  <c r="AY12" i="1"/>
  <c r="AZ12" i="1"/>
  <c r="BA12" i="1"/>
  <c r="AI12" i="1"/>
  <c r="I152" i="1" l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M1" i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2" i="1"/>
  <c r="AF12" i="1" l="1"/>
  <c r="AH12" i="1" s="1"/>
  <c r="AF20" i="1"/>
  <c r="AH20" i="1" s="1"/>
  <c r="AF16" i="1"/>
  <c r="AH16" i="1" s="1"/>
  <c r="AF18" i="1"/>
  <c r="AH18" i="1" s="1"/>
  <c r="AF14" i="1"/>
  <c r="AH14" i="1" s="1"/>
  <c r="AF22" i="1"/>
  <c r="AH22" i="1" s="1"/>
  <c r="AF23" i="1"/>
  <c r="AH23" i="1" s="1"/>
  <c r="AF21" i="1"/>
  <c r="AH21" i="1" s="1"/>
  <c r="AF19" i="1"/>
  <c r="AH19" i="1" s="1"/>
  <c r="AF17" i="1"/>
  <c r="AH17" i="1" s="1"/>
  <c r="AF15" i="1"/>
  <c r="AH15" i="1" s="1"/>
  <c r="AF13" i="1"/>
  <c r="AH13" i="1" s="1"/>
  <c r="AI10" i="1"/>
  <c r="L2" i="1"/>
  <c r="L11" i="1"/>
  <c r="M10" i="1"/>
  <c r="AH10" i="1" l="1"/>
  <c r="AI11" i="1"/>
  <c r="AJ10" i="1"/>
  <c r="N10" i="1"/>
  <c r="M2" i="1"/>
  <c r="M11" i="1"/>
  <c r="AJ11" i="1" l="1"/>
  <c r="O10" i="1"/>
  <c r="AK10" i="1"/>
  <c r="N11" i="1"/>
  <c r="AK11" i="1" s="1"/>
  <c r="N2" i="1"/>
  <c r="O2" i="1" l="1"/>
  <c r="P10" i="1"/>
  <c r="P2" i="1" s="1"/>
  <c r="AL10" i="1"/>
  <c r="O11" i="1"/>
  <c r="AM10" i="1" l="1"/>
  <c r="Q10" i="1"/>
  <c r="AN10" i="1"/>
  <c r="P11" i="1"/>
  <c r="AL11" i="1"/>
  <c r="Q2" i="1"/>
  <c r="R10" i="1" l="1"/>
  <c r="Q11" i="1"/>
  <c r="AM11" i="1"/>
  <c r="AO10" i="1"/>
  <c r="S10" i="1"/>
  <c r="R2" i="1"/>
  <c r="AP10" i="1" l="1"/>
  <c r="R11" i="1"/>
  <c r="AN11" i="1"/>
  <c r="T10" i="1"/>
  <c r="S2" i="1"/>
  <c r="AQ10" i="1" l="1"/>
  <c r="S11" i="1"/>
  <c r="AO11" i="1"/>
  <c r="U10" i="1"/>
  <c r="T2" i="1"/>
  <c r="T11" i="1" l="1"/>
  <c r="AP11" i="1"/>
  <c r="AR10" i="1"/>
  <c r="V10" i="1"/>
  <c r="U2" i="1"/>
  <c r="AS10" i="1" l="1"/>
  <c r="U11" i="1"/>
  <c r="AQ11" i="1"/>
  <c r="W10" i="1"/>
  <c r="V2" i="1"/>
  <c r="V11" i="1" l="1"/>
  <c r="AR11" i="1"/>
  <c r="AT10" i="1"/>
  <c r="X10" i="1"/>
  <c r="W2" i="1"/>
  <c r="AU10" i="1" l="1"/>
  <c r="W11" i="1"/>
  <c r="AS11" i="1"/>
  <c r="Y10" i="1"/>
  <c r="X2" i="1"/>
  <c r="AV10" i="1" l="1"/>
  <c r="X11" i="1"/>
  <c r="AT11" i="1"/>
  <c r="Z10" i="1"/>
  <c r="Y2" i="1"/>
  <c r="Y11" i="1" l="1"/>
  <c r="AU11" i="1"/>
  <c r="AW10" i="1"/>
  <c r="AA10" i="1"/>
  <c r="Z2" i="1"/>
  <c r="AX10" i="1" l="1"/>
  <c r="Z11" i="1"/>
  <c r="AV11" i="1"/>
  <c r="AB10" i="1"/>
  <c r="AA2" i="1"/>
  <c r="AA11" i="1" l="1"/>
  <c r="AW11" i="1"/>
  <c r="AY10" i="1"/>
  <c r="AC10" i="1"/>
  <c r="AB2" i="1"/>
  <c r="AZ10" i="1" l="1"/>
  <c r="AX11" i="1"/>
  <c r="AB11" i="1"/>
  <c r="AD10" i="1"/>
  <c r="AC2" i="1"/>
  <c r="AY11" i="1" l="1"/>
  <c r="AC11" i="1"/>
  <c r="BA10" i="1"/>
  <c r="AD2" i="1"/>
  <c r="AZ11" i="1" l="1"/>
  <c r="AD11" i="1"/>
  <c r="BA11" i="1" l="1"/>
  <c r="K158" i="1"/>
  <c r="K175" i="1"/>
  <c r="K155" i="1"/>
  <c r="K156" i="1"/>
  <c r="K168" i="1"/>
  <c r="K173" i="1"/>
  <c r="K178" i="1"/>
  <c r="K184" i="1"/>
  <c r="K190" i="1"/>
  <c r="K206" i="1"/>
  <c r="K161" i="1"/>
  <c r="K223" i="1"/>
  <c r="K239" i="1"/>
  <c r="K192" i="1"/>
  <c r="K197" i="1"/>
  <c r="K211" i="1"/>
  <c r="K204" i="1"/>
  <c r="K256" i="1"/>
  <c r="K272" i="1"/>
  <c r="K213" i="1"/>
  <c r="K218" i="1"/>
  <c r="K224" i="1"/>
  <c r="K245" i="1"/>
  <c r="K250" i="1"/>
  <c r="K255" i="1"/>
  <c r="K261" i="1"/>
  <c r="K266" i="1"/>
  <c r="K271" i="1"/>
  <c r="K232" i="1"/>
  <c r="K233" i="1"/>
  <c r="K281" i="1"/>
  <c r="K297" i="1"/>
  <c r="K238" i="1"/>
  <c r="K315" i="1"/>
  <c r="K282" i="1"/>
  <c r="K287" i="1"/>
  <c r="K292" i="1"/>
  <c r="K298" i="1"/>
  <c r="K303" i="1"/>
  <c r="K309" i="1"/>
  <c r="K325" i="1"/>
  <c r="K341" i="1"/>
  <c r="K314" i="1"/>
  <c r="K353" i="1"/>
  <c r="K318" i="1"/>
  <c r="K334" i="1"/>
  <c r="K319" i="1"/>
  <c r="K335" i="1"/>
  <c r="K308" i="1"/>
  <c r="K328" i="1"/>
  <c r="K344" i="1"/>
  <c r="K355" i="1"/>
  <c r="K360" i="1"/>
  <c r="K366" i="1"/>
  <c r="K59" i="1"/>
  <c r="K118" i="1"/>
  <c r="K44" i="1"/>
  <c r="K99" i="1"/>
  <c r="K33" i="1"/>
  <c r="K104" i="1"/>
  <c r="K62" i="1"/>
  <c r="K63" i="1"/>
  <c r="K134" i="1"/>
  <c r="K37" i="1"/>
  <c r="K83" i="1"/>
  <c r="K110" i="1"/>
  <c r="K88" i="1"/>
  <c r="K141" i="1"/>
  <c r="K54" i="1"/>
  <c r="K162" i="1"/>
  <c r="K179" i="1"/>
  <c r="K159" i="1"/>
  <c r="K160" i="1"/>
  <c r="K169" i="1"/>
  <c r="K174" i="1"/>
  <c r="K180" i="1"/>
  <c r="K185" i="1"/>
  <c r="K194" i="1"/>
  <c r="K210" i="1"/>
  <c r="K165" i="1"/>
  <c r="K227" i="1"/>
  <c r="K243" i="1"/>
  <c r="K193" i="1"/>
  <c r="K207" i="1"/>
  <c r="K199" i="1"/>
  <c r="K244" i="1"/>
  <c r="K260" i="1"/>
  <c r="K201" i="1"/>
  <c r="K214" i="1"/>
  <c r="K220" i="1"/>
  <c r="K225" i="1"/>
  <c r="K246" i="1"/>
  <c r="K251" i="1"/>
  <c r="K257" i="1"/>
  <c r="K262" i="1"/>
  <c r="K267" i="1"/>
  <c r="K273" i="1"/>
  <c r="K236" i="1"/>
  <c r="K237" i="1"/>
  <c r="K285" i="1"/>
  <c r="K301" i="1"/>
  <c r="K242" i="1"/>
  <c r="K278" i="1"/>
  <c r="K283" i="1"/>
  <c r="K288" i="1"/>
  <c r="K294" i="1"/>
  <c r="K299" i="1"/>
  <c r="K304" i="1"/>
  <c r="K313" i="1"/>
  <c r="K329" i="1"/>
  <c r="K345" i="1"/>
  <c r="K350" i="1"/>
  <c r="K357" i="1"/>
  <c r="K322" i="1"/>
  <c r="K338" i="1"/>
  <c r="K323" i="1"/>
  <c r="K339" i="1"/>
  <c r="K316" i="1"/>
  <c r="K332" i="1"/>
  <c r="K348" i="1"/>
  <c r="K356" i="1"/>
  <c r="K362" i="1"/>
  <c r="K367" i="1"/>
  <c r="K75" i="1"/>
  <c r="K133" i="1"/>
  <c r="K60" i="1"/>
  <c r="K122" i="1"/>
  <c r="K49" i="1"/>
  <c r="K131" i="1"/>
  <c r="K86" i="1"/>
  <c r="K34" i="1"/>
  <c r="K15" i="1"/>
  <c r="K79" i="1"/>
  <c r="K146" i="1"/>
  <c r="K64" i="1"/>
  <c r="K138" i="1"/>
  <c r="K53" i="1"/>
  <c r="K135" i="1"/>
  <c r="K94" i="1"/>
  <c r="K38" i="1"/>
  <c r="K35" i="1"/>
  <c r="K112" i="1"/>
  <c r="K20" i="1"/>
  <c r="K84" i="1"/>
  <c r="K151" i="1"/>
  <c r="K73" i="1"/>
  <c r="K125" i="1"/>
  <c r="K114" i="1"/>
  <c r="K70" i="1"/>
  <c r="K55" i="1"/>
  <c r="K102" i="1"/>
  <c r="K40" i="1"/>
  <c r="K29" i="1"/>
  <c r="K113" i="1"/>
  <c r="K166" i="1"/>
  <c r="K183" i="1"/>
  <c r="K163" i="1"/>
  <c r="K164" i="1"/>
  <c r="K170" i="1"/>
  <c r="K176" i="1"/>
  <c r="K181" i="1"/>
  <c r="K186" i="1"/>
  <c r="K198" i="1"/>
  <c r="K153" i="1"/>
  <c r="K215" i="1"/>
  <c r="K231" i="1"/>
  <c r="K189" i="1"/>
  <c r="K195" i="1"/>
  <c r="K208" i="1"/>
  <c r="K203" i="1"/>
  <c r="K248" i="1"/>
  <c r="K264" i="1"/>
  <c r="K205" i="1"/>
  <c r="K216" i="1"/>
  <c r="K221" i="1"/>
  <c r="K226" i="1"/>
  <c r="K247" i="1"/>
  <c r="K253" i="1"/>
  <c r="K258" i="1"/>
  <c r="K263" i="1"/>
  <c r="K269" i="1"/>
  <c r="K274" i="1"/>
  <c r="K240" i="1"/>
  <c r="K241" i="1"/>
  <c r="K289" i="1"/>
  <c r="K230" i="1"/>
  <c r="K307" i="1"/>
  <c r="K279" i="1"/>
  <c r="K284" i="1"/>
  <c r="K290" i="1"/>
  <c r="K295" i="1"/>
  <c r="K300" i="1"/>
  <c r="K276" i="1"/>
  <c r="K317" i="1"/>
  <c r="K333" i="1"/>
  <c r="K306" i="1"/>
  <c r="K351" i="1"/>
  <c r="K361" i="1"/>
  <c r="K326" i="1"/>
  <c r="K342" i="1"/>
  <c r="K327" i="1"/>
  <c r="K343" i="1"/>
  <c r="K320" i="1"/>
  <c r="K336" i="1"/>
  <c r="K352" i="1"/>
  <c r="K358" i="1"/>
  <c r="K363" i="1"/>
  <c r="K368" i="1"/>
  <c r="K27" i="1"/>
  <c r="K91" i="1"/>
  <c r="K12" i="1"/>
  <c r="K76" i="1"/>
  <c r="K137" i="1"/>
  <c r="K65" i="1"/>
  <c r="K142" i="1"/>
  <c r="K107" i="1"/>
  <c r="K50" i="1"/>
  <c r="K31" i="1"/>
  <c r="K96" i="1"/>
  <c r="K16" i="1"/>
  <c r="K80" i="1"/>
  <c r="K147" i="1"/>
  <c r="K69" i="1"/>
  <c r="K109" i="1"/>
  <c r="K139" i="1"/>
  <c r="K58" i="1"/>
  <c r="K51" i="1"/>
  <c r="K111" i="1"/>
  <c r="K36" i="1"/>
  <c r="K116" i="1"/>
  <c r="K25" i="1"/>
  <c r="K89" i="1"/>
  <c r="K22" i="1"/>
  <c r="K145" i="1"/>
  <c r="K98" i="1"/>
  <c r="K71" i="1"/>
  <c r="K117" i="1"/>
  <c r="K56" i="1"/>
  <c r="K106" i="1"/>
  <c r="K45" i="1"/>
  <c r="K103" i="1"/>
  <c r="K82" i="1"/>
  <c r="K30" i="1"/>
  <c r="K101" i="1"/>
  <c r="K41" i="1"/>
  <c r="K74" i="1"/>
  <c r="K23" i="1"/>
  <c r="K143" i="1"/>
  <c r="K72" i="1"/>
  <c r="K61" i="1"/>
  <c r="K126" i="1"/>
  <c r="K46" i="1"/>
  <c r="K149" i="1"/>
  <c r="K119" i="1"/>
  <c r="K66" i="1"/>
  <c r="K19" i="1"/>
  <c r="K150" i="1"/>
  <c r="K105" i="1"/>
  <c r="K108" i="1"/>
  <c r="K39" i="1"/>
  <c r="K24" i="1"/>
  <c r="K77" i="1"/>
  <c r="K130" i="1"/>
  <c r="K132" i="1"/>
  <c r="K123" i="1"/>
  <c r="K154" i="1"/>
  <c r="K171" i="1"/>
  <c r="K187" i="1"/>
  <c r="K152" i="1"/>
  <c r="K167" i="1"/>
  <c r="K172" i="1"/>
  <c r="K177" i="1"/>
  <c r="K182" i="1"/>
  <c r="K188" i="1"/>
  <c r="K202" i="1"/>
  <c r="K157" i="1"/>
  <c r="K219" i="1"/>
  <c r="K235" i="1"/>
  <c r="K191" i="1"/>
  <c r="K196" i="1"/>
  <c r="K209" i="1"/>
  <c r="K200" i="1"/>
  <c r="K252" i="1"/>
  <c r="K268" i="1"/>
  <c r="K212" i="1"/>
  <c r="K217" i="1"/>
  <c r="K222" i="1"/>
  <c r="K228" i="1"/>
  <c r="K249" i="1"/>
  <c r="K254" i="1"/>
  <c r="K259" i="1"/>
  <c r="K265" i="1"/>
  <c r="K270" i="1"/>
  <c r="K275" i="1"/>
  <c r="K229" i="1"/>
  <c r="K277" i="1"/>
  <c r="K293" i="1"/>
  <c r="K234" i="1"/>
  <c r="K311" i="1"/>
  <c r="K280" i="1"/>
  <c r="K286" i="1"/>
  <c r="K291" i="1"/>
  <c r="K296" i="1"/>
  <c r="K302" i="1"/>
  <c r="K305" i="1"/>
  <c r="K321" i="1"/>
  <c r="K337" i="1"/>
  <c r="K310" i="1"/>
  <c r="K349" i="1"/>
  <c r="K365" i="1"/>
  <c r="K312" i="1"/>
  <c r="K330" i="1"/>
  <c r="K346" i="1"/>
  <c r="K331" i="1"/>
  <c r="K347" i="1"/>
  <c r="K324" i="1"/>
  <c r="K340" i="1"/>
  <c r="K354" i="1"/>
  <c r="K359" i="1"/>
  <c r="K364" i="1"/>
  <c r="K43" i="1"/>
  <c r="K144" i="1"/>
  <c r="K28" i="1"/>
  <c r="K92" i="1"/>
  <c r="K17" i="1"/>
  <c r="K81" i="1"/>
  <c r="K148" i="1"/>
  <c r="K97" i="1"/>
  <c r="K90" i="1"/>
  <c r="K47" i="1"/>
  <c r="K115" i="1"/>
  <c r="K32" i="1"/>
  <c r="K100" i="1"/>
  <c r="K21" i="1"/>
  <c r="K85" i="1"/>
  <c r="K95" i="1"/>
  <c r="K129" i="1"/>
  <c r="K124" i="1"/>
  <c r="K67" i="1"/>
  <c r="K52" i="1"/>
  <c r="K127" i="1"/>
  <c r="K136" i="1"/>
  <c r="K26" i="1"/>
  <c r="K87" i="1"/>
  <c r="K121" i="1"/>
  <c r="K140" i="1"/>
  <c r="K14" i="1"/>
  <c r="K48" i="1"/>
  <c r="K120" i="1"/>
  <c r="K18" i="1"/>
  <c r="K68" i="1"/>
  <c r="K57" i="1"/>
  <c r="K42" i="1"/>
  <c r="K128" i="1"/>
  <c r="K13" i="1"/>
  <c r="K78" i="1"/>
  <c r="K9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mtreptow</author>
  </authors>
  <commentList>
    <comment ref="K3" authorId="0" shapeId="0" xr:uid="{00000000-0006-0000-0200-000001000000}">
      <text>
        <r>
          <rPr>
            <b/>
            <sz val="8"/>
            <color indexed="81"/>
            <rFont val="Tahoma"/>
            <family val="2"/>
          </rPr>
          <t>Kategorie eingeben
z.B: EZ oder DZ</t>
        </r>
      </text>
    </comment>
  </commentList>
</comments>
</file>

<file path=xl/sharedStrings.xml><?xml version="1.0" encoding="utf-8"?>
<sst xmlns="http://schemas.openxmlformats.org/spreadsheetml/2006/main" count="105" uniqueCount="87">
  <si>
    <t>Firma</t>
  </si>
  <si>
    <t>Kategorie</t>
  </si>
  <si>
    <t>Gesamt</t>
  </si>
  <si>
    <t>Bemerkung</t>
  </si>
  <si>
    <t>Anreise</t>
  </si>
  <si>
    <t>Abreise</t>
  </si>
  <si>
    <t>Kat</t>
  </si>
  <si>
    <t>Anz</t>
  </si>
  <si>
    <t>RN</t>
  </si>
  <si>
    <t>Anzahl</t>
  </si>
  <si>
    <t>Preis</t>
  </si>
  <si>
    <t>Res.Nr.:</t>
  </si>
  <si>
    <t>Erweitern</t>
  </si>
  <si>
    <t>Res.Nr.</t>
  </si>
  <si>
    <t>Gastname</t>
  </si>
  <si>
    <t>Kat
lang</t>
  </si>
  <si>
    <t>https://bi.testberlin.de</t>
  </si>
  <si>
    <t>I.</t>
  </si>
  <si>
    <t>Anlegen der Datei</t>
  </si>
  <si>
    <t>Die Gesamtsumme der Firma ab der Zeile 15 muß mit der Gesamtsumme Einkauf Laut Agenturmanager übereinstimmen</t>
  </si>
  <si>
    <t>Auf Tab "SR Lt. AM" in Zeile 1 das Wort "Erweitern" suchen. Gesamte Spalte markieren.</t>
  </si>
  <si>
    <t>Rechten Mausklick und "Zeilen Einfügen" klicken (so oft wiederholen, wie Tage eingefügt werden müssen)</t>
  </si>
  <si>
    <t>Spalte des letzten Datums (Namenslistenbereich) markieren und so viele Spalten nach rechts ziehen wie Tage eingefügt werden sollen</t>
  </si>
  <si>
    <t>Spalte des letzten Datums (Bereich Summierung pro Reservierung) markieren und um die gleiche Anzahl an Spalten nach rechts ziehen</t>
  </si>
  <si>
    <t>Bei "Anzahl" die Forrmel für den Summen Bereich anpassen</t>
  </si>
  <si>
    <t>Bei Gesamt" die Forrmel für den Summen Bereich anpassen</t>
  </si>
  <si>
    <t>Am Ende des Namenslistenbereichs erforderliche Anzahl an Spalten löschen</t>
  </si>
  <si>
    <t>Am Ende der Summierung pro Reservierung die gleiche Anzahl an Spalten löschen</t>
  </si>
  <si>
    <t>Prüfung bis zu welcher Zeile die Namensliste geht</t>
  </si>
  <si>
    <t>Sichtung, bis zu welcher Zeile die Formeln gehen (Siehe Bild)</t>
  </si>
  <si>
    <t>Gesamten Bereich mit Formeln markieren ► "Start" - "Suchen und Auswählen" - "Ersetzen"  klicken ► in Suchen nach z.B. $368 und in Ersetzen durch $500 eingeben</t>
  </si>
  <si>
    <t>in Tabellenblatt SR lt. Hotel alle erfassten Preise markieren und kopieren</t>
  </si>
  <si>
    <t>Inhalte in neuem Tabellenblatt einfügen</t>
  </si>
  <si>
    <t xml:space="preserve"> jede Spalte einzeln markieren und bei "Daten" auf "Duplikate entfernen" klicken
     Wichtig: mit bestehender Markierung fortfahren auswählen!!!</t>
  </si>
  <si>
    <t>Wenn alle Spalten bearbeitet sind, alle Preisangaben untereinder kopieren und erneut Duplikate entfernen</t>
  </si>
  <si>
    <t>1.</t>
  </si>
  <si>
    <t>2.</t>
  </si>
  <si>
    <t>3.</t>
  </si>
  <si>
    <t>4.</t>
  </si>
  <si>
    <t>5.</t>
  </si>
  <si>
    <t>6.</t>
  </si>
  <si>
    <t>7.</t>
  </si>
  <si>
    <t>8.</t>
  </si>
  <si>
    <t>9.</t>
  </si>
  <si>
    <t>10.</t>
  </si>
  <si>
    <t>11.</t>
  </si>
  <si>
    <t>II.</t>
  </si>
  <si>
    <t>Zeitraum erweitern</t>
  </si>
  <si>
    <t>III.</t>
  </si>
  <si>
    <t>Zeitraum reduzieren</t>
  </si>
  <si>
    <t>IV.</t>
  </si>
  <si>
    <t>V.</t>
  </si>
  <si>
    <t>Liste aller verwendeter Preise erstellen</t>
  </si>
  <si>
    <t>Summierung pro Reservierung - Anpassung Formeln falls sich die Länge der Namensliste erweitert</t>
  </si>
  <si>
    <t>Tableau Report auswählen: https://bi.testberlin.de | Ordner: Abteilungsübergreifend | Projekt: Standard | Arbeitsmappe Schlussrechnungsprüfung</t>
  </si>
  <si>
    <t>Namensliste auswählen | Filter bei Kontingentname und Hotel setzen</t>
  </si>
  <si>
    <t>Herunterladen klicken | Kreuztabelle auswählen | Herunterladen klicken | Offnen mit Mircrosoft Excel (Standard)</t>
  </si>
  <si>
    <t>Aus geöffneter Namensliste die Inhalte der Spalten Resnr bis Anz markieren und kopieren</t>
  </si>
  <si>
    <t>Den Kursor In dieser Datei auf die Zelle C15 setzten und STR+V drücken</t>
  </si>
  <si>
    <t>In Spalte I 3-8 die gebuchten Zimmerkategorien laut Agenturmanager einsetzen</t>
  </si>
  <si>
    <t>In den Spalten J bis T die Preis pro Kategorie und Nacht laut Agenturmanager einsetzen</t>
  </si>
  <si>
    <t>Dieses Tabellenblatt  zweimal kopieren und umbennenn (SR Lt. Hotel und SR Differenz)</t>
  </si>
  <si>
    <t>Auf Blatt SR Differenz Formel einsetzen (SR LT Hotel - SR Lt. AM)</t>
  </si>
  <si>
    <t>Bemerkung:</t>
  </si>
  <si>
    <t>Sig</t>
  </si>
  <si>
    <t>S / H</t>
  </si>
  <si>
    <t xml:space="preserve">Konto </t>
  </si>
  <si>
    <t>Datum</t>
  </si>
  <si>
    <t>Gegenkonto + Steuerschl.</t>
  </si>
  <si>
    <t>Umsatz</t>
  </si>
  <si>
    <t xml:space="preserve">Satz </t>
  </si>
  <si>
    <t>Beleg -</t>
  </si>
  <si>
    <t>Buchungsbeleg TEST europe GmbH</t>
  </si>
  <si>
    <t>Reservierungsnummer</t>
  </si>
  <si>
    <t>Kontingentname</t>
  </si>
  <si>
    <t>Firmenname</t>
  </si>
  <si>
    <t>Zimmerkategorie</t>
  </si>
  <si>
    <t xml:space="preserve">RN </t>
  </si>
  <si>
    <t>EK FRST (Gesamt B)</t>
  </si>
  <si>
    <t>EK LOGIS (Gesamt B)</t>
  </si>
  <si>
    <t>EK  (Gesamt B)</t>
  </si>
  <si>
    <t>Komm.  (Gesamt B)</t>
  </si>
  <si>
    <t>Verkauf (Gesamt B)</t>
  </si>
  <si>
    <t>TEST Berlin GmbH &amp; Co. KG</t>
  </si>
  <si>
    <t>TEST europe GmbH</t>
  </si>
  <si>
    <t>TEST GmbH &amp; Co. KG</t>
  </si>
  <si>
    <t>TEST international GmbH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</si>
</sst>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"/>
    <numFmt numFmtId="165" formatCode="dd/mm/"/>
  </numFmts>
  <fonts count="18" x14ac:knownFonts="1">
    <font>
      <sz val="10"/>
      <name val="Arial"/>
    </font>
    <font>
      <sz val="10"/>
      <color theme="1"/>
      <name val="Arial"/>
      <family val="2"/>
    </font>
    <font>
      <sz val="9"/>
      <name val="Arial"/>
      <family val="2"/>
    </font>
    <font>
      <sz val="8"/>
      <name val="Arial"/>
      <family val="2"/>
    </font>
    <font>
      <b/>
      <sz val="9"/>
      <color indexed="9"/>
      <name val="Arial"/>
      <family val="2"/>
    </font>
    <font>
      <b/>
      <sz val="8"/>
      <color indexed="81"/>
      <name val="Tahoma"/>
      <family val="2"/>
    </font>
    <font>
      <b/>
      <sz val="12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9"/>
      <color rgb="FFFF0000"/>
      <name val="Arial"/>
      <family val="2"/>
    </font>
    <font>
      <sz val="9"/>
      <color theme="1"/>
      <name val="Arial"/>
      <family val="2"/>
    </font>
    <font>
      <u/>
      <sz val="10"/>
      <color theme="10"/>
      <name val="Arial"/>
      <family val="2"/>
    </font>
    <font>
      <b/>
      <sz val="10"/>
      <color theme="0"/>
      <name val="Arial"/>
      <family val="2"/>
    </font>
    <font>
      <sz val="12"/>
      <name val="Arial"/>
      <family val="2"/>
    </font>
    <font>
      <b/>
      <i/>
      <sz val="10"/>
      <name val="Arial"/>
      <family val="2"/>
    </font>
    <font>
      <b/>
      <sz val="9"/>
      <name val="Arial"/>
      <family val="2"/>
    </font>
    <font>
      <b/>
      <sz val="10"/>
      <color rgb="FF00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7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7" fillId="0" borderId="0"/>
    <xf numFmtId="0" fontId="8" fillId="0" borderId="0"/>
    <xf numFmtId="0" fontId="12" fillId="0" borderId="0" applyNumberFormat="0" applyFill="0" applyBorder="0" applyAlignment="0" applyProtection="0"/>
    <xf numFmtId="0" fontId="8" fillId="0" borderId="0"/>
  </cellStyleXfs>
  <cellXfs count="90">
    <xf numFmtId="0" fontId="0" fillId="0" borderId="0" xfId="0"/>
    <xf numFmtId="0" fontId="2" fillId="0" borderId="0" xfId="0" applyFont="1" applyProtection="1">
      <protection hidden="1"/>
    </xf>
    <xf numFmtId="0" fontId="2" fillId="0" borderId="0" xfId="0" applyFont="1" applyAlignment="1" applyProtection="1">
      <alignment horizontal="left"/>
      <protection hidden="1"/>
    </xf>
    <xf numFmtId="49" fontId="2" fillId="0" borderId="0" xfId="0" applyNumberFormat="1" applyFont="1" applyAlignment="1" applyProtection="1">
      <alignment wrapText="1"/>
      <protection hidden="1"/>
    </xf>
    <xf numFmtId="1" fontId="2" fillId="0" borderId="0" xfId="0" applyNumberFormat="1" applyFont="1" applyAlignment="1" applyProtection="1">
      <alignment horizontal="center" wrapText="1"/>
      <protection hidden="1"/>
    </xf>
    <xf numFmtId="0" fontId="2" fillId="0" borderId="0" xfId="0" applyFont="1" applyAlignment="1" applyProtection="1">
      <alignment horizontal="center"/>
      <protection hidden="1"/>
    </xf>
    <xf numFmtId="49" fontId="2" fillId="0" borderId="0" xfId="0" applyNumberFormat="1" applyFont="1" applyProtection="1">
      <protection hidden="1"/>
    </xf>
    <xf numFmtId="165" fontId="2" fillId="0" borderId="0" xfId="0" applyNumberFormat="1" applyFont="1" applyProtection="1">
      <protection hidden="1"/>
    </xf>
    <xf numFmtId="0" fontId="2" fillId="0" borderId="0" xfId="0" applyFont="1" applyAlignment="1" applyProtection="1">
      <alignment horizontal="left" wrapText="1"/>
      <protection locked="0"/>
    </xf>
    <xf numFmtId="1" fontId="2" fillId="2" borderId="1" xfId="0" applyNumberFormat="1" applyFont="1" applyFill="1" applyBorder="1" applyAlignment="1" applyProtection="1">
      <alignment horizontal="center" wrapText="1"/>
      <protection hidden="1"/>
    </xf>
    <xf numFmtId="0" fontId="4" fillId="3" borderId="1" xfId="0" applyFont="1" applyFill="1" applyBorder="1" applyAlignment="1" applyProtection="1">
      <alignment horizontal="center" wrapText="1"/>
      <protection hidden="1"/>
    </xf>
    <xf numFmtId="165" fontId="4" fillId="3" borderId="1" xfId="0" applyNumberFormat="1" applyFont="1" applyFill="1" applyBorder="1" applyAlignment="1" applyProtection="1">
      <alignment horizontal="center" wrapText="1"/>
      <protection hidden="1"/>
    </xf>
    <xf numFmtId="49" fontId="4" fillId="3" borderId="1" xfId="0" applyNumberFormat="1" applyFont="1" applyFill="1" applyBorder="1" applyAlignment="1" applyProtection="1">
      <alignment horizontal="left" wrapText="1"/>
      <protection hidden="1"/>
    </xf>
    <xf numFmtId="49" fontId="4" fillId="3" borderId="1" xfId="0" applyNumberFormat="1" applyFont="1" applyFill="1" applyBorder="1" applyAlignment="1" applyProtection="1">
      <alignment wrapText="1"/>
      <protection hidden="1"/>
    </xf>
    <xf numFmtId="1" fontId="4" fillId="3" borderId="1" xfId="0" applyNumberFormat="1" applyFont="1" applyFill="1" applyBorder="1" applyAlignment="1" applyProtection="1">
      <alignment horizontal="center" wrapText="1"/>
      <protection hidden="1"/>
    </xf>
    <xf numFmtId="4" fontId="2" fillId="2" borderId="1" xfId="0" applyNumberFormat="1" applyFont="1" applyFill="1" applyBorder="1" applyAlignment="1" applyProtection="1">
      <alignment horizontal="center"/>
      <protection hidden="1"/>
    </xf>
    <xf numFmtId="4" fontId="2" fillId="0" borderId="0" xfId="0" applyNumberFormat="1" applyFont="1" applyAlignment="1" applyProtection="1">
      <alignment horizontal="center"/>
      <protection hidden="1"/>
    </xf>
    <xf numFmtId="165" fontId="4" fillId="3" borderId="1" xfId="0" applyNumberFormat="1" applyFont="1" applyFill="1" applyBorder="1" applyAlignment="1" applyProtection="1">
      <alignment horizontal="center"/>
      <protection hidden="1"/>
    </xf>
    <xf numFmtId="0" fontId="6" fillId="0" borderId="0" xfId="0" applyFont="1"/>
    <xf numFmtId="3" fontId="2" fillId="0" borderId="0" xfId="0" applyNumberFormat="1" applyFont="1" applyAlignment="1" applyProtection="1">
      <alignment horizontal="center" wrapText="1"/>
      <protection hidden="1"/>
    </xf>
    <xf numFmtId="3" fontId="4" fillId="3" borderId="1" xfId="0" applyNumberFormat="1" applyFont="1" applyFill="1" applyBorder="1" applyAlignment="1" applyProtection="1">
      <alignment horizontal="center" wrapText="1"/>
      <protection hidden="1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1" fontId="2" fillId="0" borderId="0" xfId="0" applyNumberFormat="1" applyFont="1" applyAlignment="1" applyProtection="1">
      <alignment horizontal="right" wrapText="1"/>
      <protection hidden="1"/>
    </xf>
    <xf numFmtId="0" fontId="4" fillId="3" borderId="1" xfId="0" applyFont="1" applyFill="1" applyBorder="1" applyAlignment="1" applyProtection="1">
      <alignment horizontal="right" wrapText="1"/>
      <protection hidden="1"/>
    </xf>
    <xf numFmtId="4" fontId="2" fillId="0" borderId="0" xfId="0" applyNumberFormat="1" applyFont="1" applyAlignment="1" applyProtection="1">
      <alignment horizontal="right" wrapText="1"/>
      <protection hidden="1"/>
    </xf>
    <xf numFmtId="0" fontId="0" fillId="0" borderId="0" xfId="0" applyAlignment="1">
      <alignment horizontal="center"/>
    </xf>
    <xf numFmtId="0" fontId="2" fillId="0" borderId="0" xfId="0" applyFont="1" applyProtection="1">
      <protection locked="0"/>
    </xf>
    <xf numFmtId="164" fontId="4" fillId="3" borderId="1" xfId="0" applyNumberFormat="1" applyFont="1" applyFill="1" applyBorder="1" applyAlignment="1" applyProtection="1">
      <alignment horizontal="center" wrapText="1"/>
      <protection hidden="1"/>
    </xf>
    <xf numFmtId="49" fontId="4" fillId="3" borderId="1" xfId="0" applyNumberFormat="1" applyFont="1" applyFill="1" applyBorder="1" applyAlignment="1" applyProtection="1">
      <alignment horizontal="center" wrapText="1"/>
      <protection hidden="1"/>
    </xf>
    <xf numFmtId="164" fontId="2" fillId="0" borderId="0" xfId="0" applyNumberFormat="1" applyFont="1" applyAlignment="1" applyProtection="1">
      <alignment horizontal="center" wrapText="1"/>
      <protection hidden="1"/>
    </xf>
    <xf numFmtId="14" fontId="0" fillId="0" borderId="0" xfId="0" applyNumberFormat="1" applyAlignment="1">
      <alignment horizontal="center"/>
    </xf>
    <xf numFmtId="4" fontId="0" fillId="0" borderId="0" xfId="0" applyNumberFormat="1"/>
    <xf numFmtId="4" fontId="2" fillId="0" borderId="0" xfId="0" applyNumberFormat="1" applyFont="1" applyProtection="1">
      <protection hidden="1"/>
    </xf>
    <xf numFmtId="0" fontId="2" fillId="0" borderId="0" xfId="0" applyFont="1" applyAlignment="1" applyProtection="1">
      <alignment wrapText="1"/>
      <protection hidden="1"/>
    </xf>
    <xf numFmtId="4" fontId="2" fillId="4" borderId="0" xfId="0" applyNumberFormat="1" applyFont="1" applyFill="1" applyProtection="1">
      <protection hidden="1"/>
    </xf>
    <xf numFmtId="4" fontId="0" fillId="4" borderId="0" xfId="0" applyNumberFormat="1" applyFill="1"/>
    <xf numFmtId="3" fontId="2" fillId="0" borderId="0" xfId="0" applyNumberFormat="1" applyFont="1" applyProtection="1">
      <protection hidden="1"/>
    </xf>
    <xf numFmtId="0" fontId="9" fillId="0" borderId="0" xfId="0" applyFont="1"/>
    <xf numFmtId="0" fontId="10" fillId="0" borderId="0" xfId="0" applyFont="1" applyAlignment="1">
      <alignment wrapText="1"/>
    </xf>
    <xf numFmtId="0" fontId="2" fillId="0" borderId="0" xfId="0" applyFont="1"/>
    <xf numFmtId="0" fontId="2" fillId="0" borderId="0" xfId="0" applyFont="1" applyAlignment="1">
      <alignment wrapText="1"/>
    </xf>
    <xf numFmtId="0" fontId="11" fillId="0" borderId="0" xfId="1" applyFont="1" applyAlignment="1">
      <alignment wrapText="1"/>
    </xf>
    <xf numFmtId="0" fontId="10" fillId="0" borderId="0" xfId="0" applyFont="1"/>
    <xf numFmtId="0" fontId="12" fillId="0" borderId="0" xfId="3" applyAlignment="1" applyProtection="1">
      <alignment wrapText="1"/>
      <protection hidden="1"/>
    </xf>
    <xf numFmtId="0" fontId="14" fillId="0" borderId="0" xfId="4" applyFont="1"/>
    <xf numFmtId="0" fontId="14" fillId="0" borderId="0" xfId="4" applyFont="1" applyAlignment="1">
      <alignment horizontal="center"/>
    </xf>
    <xf numFmtId="49" fontId="14" fillId="0" borderId="0" xfId="4" applyNumberFormat="1" applyFont="1" applyAlignment="1">
      <alignment horizontal="right"/>
    </xf>
    <xf numFmtId="4" fontId="14" fillId="0" borderId="0" xfId="4" applyNumberFormat="1" applyFont="1"/>
    <xf numFmtId="49" fontId="14" fillId="0" borderId="2" xfId="4" applyNumberFormat="1" applyFont="1" applyBorder="1" applyAlignment="1">
      <alignment horizontal="right"/>
    </xf>
    <xf numFmtId="0" fontId="14" fillId="0" borderId="2" xfId="4" applyFont="1" applyBorder="1" applyAlignment="1">
      <alignment horizontal="center"/>
    </xf>
    <xf numFmtId="4" fontId="14" fillId="0" borderId="2" xfId="4" applyNumberFormat="1" applyFont="1" applyBorder="1"/>
    <xf numFmtId="0" fontId="14" fillId="0" borderId="2" xfId="4" applyFont="1" applyBorder="1"/>
    <xf numFmtId="0" fontId="14" fillId="0" borderId="3" xfId="4" applyFont="1" applyBorder="1"/>
    <xf numFmtId="0" fontId="14" fillId="0" borderId="3" xfId="4" applyFont="1" applyBorder="1" applyAlignment="1">
      <alignment horizontal="center"/>
    </xf>
    <xf numFmtId="49" fontId="14" fillId="0" borderId="3" xfId="4" applyNumberFormat="1" applyFont="1" applyBorder="1" applyAlignment="1">
      <alignment horizontal="right"/>
    </xf>
    <xf numFmtId="4" fontId="14" fillId="0" borderId="3" xfId="4" applyNumberFormat="1" applyFont="1" applyBorder="1"/>
    <xf numFmtId="0" fontId="14" fillId="0" borderId="4" xfId="4" applyFont="1" applyBorder="1"/>
    <xf numFmtId="0" fontId="14" fillId="0" borderId="4" xfId="4" applyFont="1" applyBorder="1" applyAlignment="1">
      <alignment horizontal="center"/>
    </xf>
    <xf numFmtId="49" fontId="14" fillId="0" borderId="4" xfId="4" applyNumberFormat="1" applyFont="1" applyBorder="1" applyAlignment="1">
      <alignment horizontal="right"/>
    </xf>
    <xf numFmtId="4" fontId="14" fillId="0" borderId="4" xfId="4" applyNumberFormat="1" applyFont="1" applyBorder="1"/>
    <xf numFmtId="0" fontId="15" fillId="0" borderId="3" xfId="4" applyFont="1" applyBorder="1" applyAlignment="1">
      <alignment horizontal="left"/>
    </xf>
    <xf numFmtId="0" fontId="14" fillId="0" borderId="1" xfId="4" applyFont="1" applyBorder="1"/>
    <xf numFmtId="0" fontId="14" fillId="0" borderId="1" xfId="4" applyFont="1" applyBorder="1" applyAlignment="1">
      <alignment horizontal="center"/>
    </xf>
    <xf numFmtId="49" fontId="14" fillId="0" borderId="1" xfId="4" applyNumberFormat="1" applyFont="1" applyBorder="1" applyAlignment="1">
      <alignment horizontal="right"/>
    </xf>
    <xf numFmtId="4" fontId="14" fillId="0" borderId="1" xfId="4" applyNumberFormat="1" applyFont="1" applyBorder="1"/>
    <xf numFmtId="0" fontId="6" fillId="5" borderId="1" xfId="4" applyFont="1" applyFill="1" applyBorder="1" applyAlignment="1">
      <alignment horizontal="center"/>
    </xf>
    <xf numFmtId="14" fontId="14" fillId="0" borderId="1" xfId="4" applyNumberFormat="1" applyFont="1" applyBorder="1"/>
    <xf numFmtId="0" fontId="16" fillId="0" borderId="0" xfId="4" applyFont="1" applyAlignment="1">
      <alignment horizontal="center"/>
    </xf>
    <xf numFmtId="0" fontId="16" fillId="5" borderId="1" xfId="4" applyFont="1" applyFill="1" applyBorder="1" applyAlignment="1">
      <alignment horizontal="center"/>
    </xf>
    <xf numFmtId="49" fontId="16" fillId="5" borderId="1" xfId="4" applyNumberFormat="1" applyFont="1" applyFill="1" applyBorder="1" applyAlignment="1">
      <alignment horizontal="center" wrapText="1"/>
    </xf>
    <xf numFmtId="4" fontId="16" fillId="5" borderId="1" xfId="4" applyNumberFormat="1" applyFont="1" applyFill="1" applyBorder="1" applyAlignment="1">
      <alignment horizontal="center"/>
    </xf>
    <xf numFmtId="0" fontId="6" fillId="0" borderId="0" xfId="4" applyFont="1"/>
    <xf numFmtId="0" fontId="6" fillId="0" borderId="5" xfId="4" applyFont="1" applyBorder="1"/>
    <xf numFmtId="0" fontId="6" fillId="0" borderId="3" xfId="4" applyFont="1" applyBorder="1" applyAlignment="1">
      <alignment horizontal="center"/>
    </xf>
    <xf numFmtId="0" fontId="6" fillId="0" borderId="6" xfId="4" applyFont="1" applyBorder="1"/>
    <xf numFmtId="0" fontId="6" fillId="5" borderId="1" xfId="4" applyFont="1" applyFill="1" applyBorder="1"/>
    <xf numFmtId="0" fontId="7" fillId="0" borderId="0" xfId="1"/>
    <xf numFmtId="4" fontId="7" fillId="0" borderId="0" xfId="1" applyNumberFormat="1"/>
    <xf numFmtId="0" fontId="1" fillId="0" borderId="0" xfId="1" applyFont="1"/>
    <xf numFmtId="4" fontId="1" fillId="0" borderId="0" xfId="1" applyNumberFormat="1" applyFont="1"/>
    <xf numFmtId="0" fontId="13" fillId="6" borderId="1" xfId="1" applyFont="1" applyFill="1" applyBorder="1"/>
    <xf numFmtId="4" fontId="13" fillId="6" borderId="1" xfId="1" applyNumberFormat="1" applyFont="1" applyFill="1" applyBorder="1"/>
    <xf numFmtId="0" fontId="6" fillId="0" borderId="0" xfId="2" applyFont="1"/>
    <xf numFmtId="4" fontId="8" fillId="0" borderId="0" xfId="1" applyNumberFormat="1" applyFont="1"/>
    <xf numFmtId="0" fontId="8" fillId="0" borderId="0" xfId="1" applyFont="1"/>
    <xf numFmtId="0" fontId="8" fillId="0" borderId="0" xfId="2"/>
    <xf numFmtId="0" fontId="8" fillId="0" borderId="0" xfId="0" applyFont="1"/>
    <xf numFmtId="0" fontId="6" fillId="0" borderId="4" xfId="4" applyFont="1" applyBorder="1" applyAlignment="1">
      <alignment horizontal="left"/>
    </xf>
    <xf numFmtId="0" fontId="6" fillId="0" borderId="7" xfId="4" applyFont="1" applyBorder="1" applyAlignment="1">
      <alignment horizontal="left"/>
    </xf>
  </cellXfs>
  <cellStyles count="5">
    <cellStyle name="Link" xfId="3" builtinId="8"/>
    <cellStyle name="Standard" xfId="0" builtinId="0"/>
    <cellStyle name="Standard 2" xfId="2" xr:uid="{00000000-0005-0000-0000-000002000000}"/>
    <cellStyle name="Standard 3" xfId="1" xr:uid="{00000000-0005-0000-0000-000003000000}"/>
    <cellStyle name="Standard 4" xfId="4" xr:uid="{00000000-0005-0000-0000-000004000000}"/>
  </cellStyles>
  <dxfs count="8"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0</xdr:row>
          <xdr:rowOff>133350</xdr:rowOff>
        </xdr:from>
        <xdr:to>
          <xdr:col>3</xdr:col>
          <xdr:colOff>641350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Makro starten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274321</xdr:colOff>
      <xdr:row>24</xdr:row>
      <xdr:rowOff>69760</xdr:rowOff>
    </xdr:from>
    <xdr:to>
      <xdr:col>6</xdr:col>
      <xdr:colOff>401687</xdr:colOff>
      <xdr:row>32</xdr:row>
      <xdr:rowOff>106680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52261" y="3422560"/>
          <a:ext cx="3297286" cy="135518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TEST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7000C"/>
      </a:accent1>
      <a:accent2>
        <a:srgbClr val="A71D69"/>
      </a:accent2>
      <a:accent3>
        <a:srgbClr val="7EA531"/>
      </a:accent3>
      <a:accent4>
        <a:srgbClr val="1961AC"/>
      </a:accent4>
      <a:accent5>
        <a:srgbClr val="F3F3F3"/>
      </a:accent5>
      <a:accent6>
        <a:srgbClr val="ED7D31"/>
      </a:accent6>
      <a:hlink>
        <a:srgbClr val="1961AC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4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bi.testberlin.d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6">
    <tabColor indexed="42"/>
    <pageSetUpPr fitToPage="1"/>
  </sheetPr>
  <dimension ref="A1:L22"/>
  <sheetViews>
    <sheetView showGridLines="0" zoomScaleNormal="100" workbookViewId="0">
      <selection activeCell="A2" sqref="A2"/>
    </sheetView>
  </sheetViews>
  <sheetFormatPr baseColWidth="10" defaultColWidth="11.453125" defaultRowHeight="21" customHeight="1" x14ac:dyDescent="0.35"/>
  <cols>
    <col min="1" max="1" width="4.54296875" style="46" customWidth="1"/>
    <col min="2" max="2" width="19.7265625" style="48" customWidth="1"/>
    <col min="3" max="3" width="14.81640625" style="47" customWidth="1"/>
    <col min="4" max="4" width="5.26953125" style="46" bestFit="1" customWidth="1"/>
    <col min="5" max="5" width="17.81640625" style="45" customWidth="1"/>
    <col min="6" max="6" width="17.26953125" style="45" customWidth="1"/>
    <col min="7" max="7" width="5.26953125" style="46" bestFit="1" customWidth="1"/>
    <col min="8" max="8" width="5.26953125" style="45" bestFit="1" customWidth="1"/>
    <col min="9" max="16384" width="11.453125" style="45"/>
  </cols>
  <sheetData>
    <row r="1" spans="1:12" s="72" customFormat="1" ht="20.149999999999999" customHeight="1" x14ac:dyDescent="0.35">
      <c r="A1" s="88" t="s">
        <v>72</v>
      </c>
      <c r="B1" s="88"/>
      <c r="C1" s="88"/>
      <c r="D1" s="89"/>
      <c r="E1" s="76" t="s">
        <v>71</v>
      </c>
      <c r="F1" s="75"/>
      <c r="G1" s="74"/>
      <c r="H1" s="73"/>
    </row>
    <row r="2" spans="1:12" s="68" customFormat="1" ht="23.15" customHeight="1" x14ac:dyDescent="0.25">
      <c r="A2" s="69" t="s">
        <v>70</v>
      </c>
      <c r="B2" s="71" t="s">
        <v>69</v>
      </c>
      <c r="C2" s="70" t="s">
        <v>68</v>
      </c>
      <c r="D2" s="69" t="s">
        <v>65</v>
      </c>
      <c r="E2" s="69" t="s">
        <v>67</v>
      </c>
      <c r="F2" s="69" t="s">
        <v>66</v>
      </c>
      <c r="G2" s="69" t="s">
        <v>65</v>
      </c>
      <c r="H2" s="69" t="s">
        <v>64</v>
      </c>
    </row>
    <row r="3" spans="1:12" ht="19" customHeight="1" x14ac:dyDescent="0.35">
      <c r="A3" s="66">
        <v>1</v>
      </c>
      <c r="B3" s="65"/>
      <c r="C3" s="64"/>
      <c r="D3" s="63"/>
      <c r="E3" s="67"/>
      <c r="F3" s="62"/>
      <c r="G3" s="63"/>
      <c r="H3" s="62"/>
    </row>
    <row r="4" spans="1:12" ht="19" customHeight="1" x14ac:dyDescent="0.35">
      <c r="A4" s="66">
        <f t="shared" ref="A4:A17" si="0">+A3+1</f>
        <v>2</v>
      </c>
      <c r="B4" s="65"/>
      <c r="C4" s="64"/>
      <c r="D4" s="63"/>
      <c r="E4" s="67"/>
      <c r="F4" s="62"/>
      <c r="G4" s="63"/>
      <c r="H4" s="62"/>
    </row>
    <row r="5" spans="1:12" ht="19" customHeight="1" x14ac:dyDescent="0.35">
      <c r="A5" s="66">
        <f t="shared" si="0"/>
        <v>3</v>
      </c>
      <c r="B5" s="65"/>
      <c r="C5" s="64"/>
      <c r="D5" s="63"/>
      <c r="E5" s="67"/>
      <c r="F5" s="62"/>
      <c r="G5" s="63"/>
      <c r="H5" s="62"/>
    </row>
    <row r="6" spans="1:12" ht="19" customHeight="1" x14ac:dyDescent="0.35">
      <c r="A6" s="66">
        <f t="shared" si="0"/>
        <v>4</v>
      </c>
      <c r="B6" s="65"/>
      <c r="C6" s="64"/>
      <c r="D6" s="63"/>
      <c r="E6" s="67"/>
      <c r="F6" s="62"/>
      <c r="G6" s="63"/>
      <c r="H6" s="62"/>
    </row>
    <row r="7" spans="1:12" ht="19" customHeight="1" x14ac:dyDescent="0.35">
      <c r="A7" s="66">
        <f t="shared" si="0"/>
        <v>5</v>
      </c>
      <c r="B7" s="65"/>
      <c r="C7" s="64"/>
      <c r="D7" s="63"/>
      <c r="E7" s="62"/>
      <c r="F7" s="62"/>
      <c r="G7" s="63"/>
      <c r="H7" s="62"/>
      <c r="L7" s="48"/>
    </row>
    <row r="8" spans="1:12" ht="19" customHeight="1" x14ac:dyDescent="0.35">
      <c r="A8" s="66">
        <f t="shared" si="0"/>
        <v>6</v>
      </c>
      <c r="B8" s="65"/>
      <c r="C8" s="64"/>
      <c r="D8" s="63"/>
      <c r="E8" s="62"/>
      <c r="F8" s="62"/>
      <c r="G8" s="63"/>
      <c r="H8" s="62"/>
      <c r="L8" s="48"/>
    </row>
    <row r="9" spans="1:12" ht="19" customHeight="1" x14ac:dyDescent="0.35">
      <c r="A9" s="66">
        <f t="shared" si="0"/>
        <v>7</v>
      </c>
      <c r="B9" s="65"/>
      <c r="C9" s="64"/>
      <c r="D9" s="63"/>
      <c r="E9" s="62"/>
      <c r="F9" s="62"/>
      <c r="G9" s="63"/>
      <c r="H9" s="62"/>
      <c r="L9" s="48"/>
    </row>
    <row r="10" spans="1:12" ht="19" customHeight="1" x14ac:dyDescent="0.35">
      <c r="A10" s="66">
        <f t="shared" si="0"/>
        <v>8</v>
      </c>
      <c r="B10" s="65"/>
      <c r="C10" s="64"/>
      <c r="D10" s="63"/>
      <c r="E10" s="62"/>
      <c r="F10" s="62"/>
      <c r="G10" s="63"/>
      <c r="H10" s="62"/>
      <c r="L10" s="48"/>
    </row>
    <row r="11" spans="1:12" ht="19" customHeight="1" x14ac:dyDescent="0.35">
      <c r="A11" s="66">
        <f t="shared" si="0"/>
        <v>9</v>
      </c>
      <c r="B11" s="65"/>
      <c r="C11" s="64"/>
      <c r="D11" s="63"/>
      <c r="E11" s="62"/>
      <c r="F11" s="62"/>
      <c r="G11" s="63"/>
      <c r="H11" s="62"/>
      <c r="L11" s="48"/>
    </row>
    <row r="12" spans="1:12" ht="19" customHeight="1" x14ac:dyDescent="0.35">
      <c r="A12" s="66">
        <f t="shared" si="0"/>
        <v>10</v>
      </c>
      <c r="B12" s="65"/>
      <c r="C12" s="64"/>
      <c r="D12" s="63"/>
      <c r="E12" s="62"/>
      <c r="F12" s="62"/>
      <c r="G12" s="63"/>
      <c r="H12" s="62"/>
      <c r="L12" s="48"/>
    </row>
    <row r="13" spans="1:12" ht="19" customHeight="1" x14ac:dyDescent="0.35">
      <c r="A13" s="66">
        <f t="shared" si="0"/>
        <v>11</v>
      </c>
      <c r="B13" s="65"/>
      <c r="C13" s="64"/>
      <c r="D13" s="63"/>
      <c r="E13" s="62"/>
      <c r="F13" s="62"/>
      <c r="G13" s="63"/>
      <c r="H13" s="62"/>
      <c r="L13" s="48"/>
    </row>
    <row r="14" spans="1:12" ht="19" customHeight="1" x14ac:dyDescent="0.35">
      <c r="A14" s="66">
        <f t="shared" si="0"/>
        <v>12</v>
      </c>
      <c r="B14" s="65"/>
      <c r="C14" s="64"/>
      <c r="D14" s="63"/>
      <c r="E14" s="62"/>
      <c r="F14" s="62"/>
      <c r="G14" s="63"/>
      <c r="H14" s="62"/>
      <c r="L14" s="48"/>
    </row>
    <row r="15" spans="1:12" ht="19" customHeight="1" x14ac:dyDescent="0.35">
      <c r="A15" s="66">
        <f t="shared" si="0"/>
        <v>13</v>
      </c>
      <c r="B15" s="65"/>
      <c r="C15" s="64"/>
      <c r="D15" s="63"/>
      <c r="E15" s="62"/>
      <c r="F15" s="62"/>
      <c r="G15" s="63"/>
      <c r="H15" s="62"/>
      <c r="L15" s="48"/>
    </row>
    <row r="16" spans="1:12" ht="19" customHeight="1" x14ac:dyDescent="0.35">
      <c r="A16" s="66">
        <f t="shared" si="0"/>
        <v>14</v>
      </c>
      <c r="B16" s="65"/>
      <c r="C16" s="64"/>
      <c r="D16" s="63"/>
      <c r="E16" s="62"/>
      <c r="F16" s="62"/>
      <c r="G16" s="63"/>
      <c r="H16" s="62"/>
      <c r="L16" s="48"/>
    </row>
    <row r="17" spans="1:12" ht="19" customHeight="1" x14ac:dyDescent="0.35">
      <c r="A17" s="66">
        <f t="shared" si="0"/>
        <v>15</v>
      </c>
      <c r="B17" s="65"/>
      <c r="C17" s="64"/>
      <c r="D17" s="63"/>
      <c r="E17" s="62"/>
      <c r="F17" s="62"/>
      <c r="G17" s="63"/>
      <c r="H17" s="62"/>
      <c r="L17" s="48"/>
    </row>
    <row r="18" spans="1:12" ht="19" customHeight="1" x14ac:dyDescent="0.35">
      <c r="A18" s="61" t="s">
        <v>63</v>
      </c>
      <c r="B18" s="56"/>
      <c r="C18" s="55"/>
      <c r="D18" s="54"/>
      <c r="E18" s="53"/>
      <c r="F18" s="53"/>
      <c r="G18" s="54"/>
      <c r="H18" s="53"/>
    </row>
    <row r="19" spans="1:12" ht="19" customHeight="1" x14ac:dyDescent="0.35">
      <c r="A19" s="58"/>
      <c r="B19" s="60"/>
      <c r="C19" s="59"/>
      <c r="D19" s="58"/>
      <c r="E19" s="57"/>
      <c r="F19" s="57"/>
      <c r="G19" s="58"/>
      <c r="H19" s="57"/>
    </row>
    <row r="20" spans="1:12" ht="19" customHeight="1" x14ac:dyDescent="0.35">
      <c r="A20" s="58"/>
      <c r="B20" s="60"/>
      <c r="C20" s="59"/>
      <c r="D20" s="58"/>
      <c r="E20" s="57"/>
      <c r="F20" s="57"/>
      <c r="G20" s="58"/>
      <c r="H20" s="57"/>
    </row>
    <row r="21" spans="1:12" ht="19" customHeight="1" x14ac:dyDescent="0.35">
      <c r="A21" s="53"/>
      <c r="B21" s="56"/>
      <c r="C21" s="55"/>
      <c r="D21" s="54"/>
      <c r="E21" s="53"/>
      <c r="F21" s="53"/>
      <c r="G21" s="54"/>
      <c r="H21" s="53"/>
    </row>
    <row r="22" spans="1:12" ht="15" customHeight="1" x14ac:dyDescent="0.35">
      <c r="A22" s="52"/>
      <c r="B22" s="51"/>
      <c r="C22" s="49"/>
      <c r="D22" s="50"/>
      <c r="E22" s="49"/>
      <c r="F22" s="49"/>
      <c r="G22" s="49"/>
      <c r="H22" s="49"/>
    </row>
  </sheetData>
  <mergeCells count="1">
    <mergeCell ref="A1:D1"/>
  </mergeCells>
  <dataValidations count="1">
    <dataValidation type="list" allowBlank="1" showInputMessage="1" showErrorMessage="1" sqref="A1" xr:uid="{00000000-0002-0000-0000-000000000000}">
      <formula1>"Buchungsbeleg TEST europe GmbH, Buchungsbeleg TEST Berlin GmbH &amp; Co. KG, Buchungsbeleg TEST GmbH &amp; Co. KG, Buchungsbeleg TEST international GmbH"</formula1>
    </dataValidation>
  </dataValidations>
  <pageMargins left="0.59055118110236227" right="0.48" top="1.1023622047244095" bottom="0.11811023622047245" header="0" footer="0"/>
  <pageSetup paperSize="9" orientation="portrait" r:id="rId1"/>
  <headerFooter alignWithMargins="0">
    <oddHeader>&amp;R&amp;G</oddHeader>
    <oddFooter>&amp;LBuchungsbeleg &amp;F&amp;R&amp;D | &amp;T</odd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>
    <pageSetUpPr fitToPage="1"/>
  </sheetPr>
  <dimension ref="A1:J1"/>
  <sheetViews>
    <sheetView workbookViewId="0"/>
  </sheetViews>
  <sheetFormatPr baseColWidth="10" defaultColWidth="11.54296875" defaultRowHeight="12.5" x14ac:dyDescent="0.25"/>
  <cols>
    <col min="1" max="1" width="21.453125" style="79" bestFit="1" customWidth="1"/>
    <col min="2" max="2" width="39.453125" style="79" bestFit="1" customWidth="1"/>
    <col min="3" max="3" width="22" style="79" bestFit="1" customWidth="1"/>
    <col min="4" max="4" width="16.453125" style="79" bestFit="1" customWidth="1"/>
    <col min="5" max="5" width="4" style="79" bestFit="1" customWidth="1"/>
    <col min="6" max="6" width="18" style="80" bestFit="1" customWidth="1"/>
    <col min="7" max="7" width="19" style="80" bestFit="1" customWidth="1"/>
    <col min="8" max="8" width="13.7265625" style="80" bestFit="1" customWidth="1"/>
    <col min="9" max="9" width="18" style="80" bestFit="1" customWidth="1"/>
    <col min="10" max="10" width="18.54296875" style="79" bestFit="1" customWidth="1"/>
    <col min="11" max="16384" width="11.54296875" style="79"/>
  </cols>
  <sheetData>
    <row r="1" spans="1:10" ht="13" x14ac:dyDescent="0.3">
      <c r="A1" s="81" t="s">
        <v>73</v>
      </c>
      <c r="B1" s="81" t="s">
        <v>74</v>
      </c>
      <c r="C1" s="81" t="s">
        <v>75</v>
      </c>
      <c r="D1" s="81" t="s">
        <v>76</v>
      </c>
      <c r="E1" s="81" t="s">
        <v>77</v>
      </c>
      <c r="F1" s="82" t="s">
        <v>78</v>
      </c>
      <c r="G1" s="82" t="s">
        <v>79</v>
      </c>
      <c r="H1" s="82" t="s">
        <v>80</v>
      </c>
      <c r="I1" s="82" t="s">
        <v>81</v>
      </c>
      <c r="J1" s="82" t="s">
        <v>82</v>
      </c>
    </row>
  </sheetData>
  <pageMargins left="0.70866141732283472" right="0.70866141732283472" top="1.299212598425197" bottom="0.59055118110236227" header="0.31496062992125984" footer="0.31496062992125984"/>
  <pageSetup paperSize="9" scale="77" fitToHeight="0" orientation="landscape" r:id="rId1"/>
  <headerFooter>
    <oddHeader>&amp;R&amp;G</oddHeader>
    <oddFooter>&amp;L&amp;F&amp;RDruckdatum: &amp;D | &amp;T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U368"/>
  <sheetViews>
    <sheetView tabSelected="1" zoomScale="85" zoomScaleNormal="85" workbookViewId="0">
      <pane ySplit="11" topLeftCell="A12" activePane="bottomLeft" state="frozen"/>
      <selection pane="bottomLeft" activeCell="W27" sqref="W27"/>
    </sheetView>
  </sheetViews>
  <sheetFormatPr baseColWidth="10" defaultRowHeight="12.5" x14ac:dyDescent="0.25"/>
  <cols>
    <col min="4" max="5" width="11.453125" style="26" customWidth="1"/>
    <col min="6" max="6" width="4.81640625" style="26" customWidth="1"/>
    <col min="7" max="7" width="0.1796875" style="26" customWidth="1"/>
    <col min="8" max="8" width="4.81640625" style="26" customWidth="1"/>
    <col min="9" max="9" width="4.81640625" style="21" customWidth="1"/>
    <col min="10" max="10" width="12" customWidth="1"/>
    <col min="11" max="11" width="11.453125" style="22" customWidth="1"/>
    <col min="12" max="30" width="7.453125" customWidth="1"/>
    <col min="32" max="32" width="6.7265625" bestFit="1" customWidth="1"/>
    <col min="33" max="33" width="10.54296875" style="32" customWidth="1"/>
    <col min="34" max="34" width="7.81640625" style="32" customWidth="1"/>
    <col min="35" max="39" width="5.54296875" bestFit="1" customWidth="1"/>
    <col min="40" max="53" width="5.26953125" bestFit="1" customWidth="1"/>
  </cols>
  <sheetData>
    <row r="1" spans="1:125" ht="15.5" x14ac:dyDescent="0.35">
      <c r="A1" s="18"/>
      <c r="K1" s="26"/>
      <c r="L1">
        <v>2</v>
      </c>
      <c r="M1">
        <f>L1+1</f>
        <v>3</v>
      </c>
      <c r="N1">
        <f t="shared" ref="N1:Z1" si="0">M1+1</f>
        <v>4</v>
      </c>
      <c r="O1">
        <f t="shared" si="0"/>
        <v>5</v>
      </c>
      <c r="P1">
        <f t="shared" si="0"/>
        <v>6</v>
      </c>
      <c r="Q1">
        <f t="shared" si="0"/>
        <v>7</v>
      </c>
      <c r="R1">
        <f t="shared" si="0"/>
        <v>8</v>
      </c>
      <c r="S1">
        <f t="shared" si="0"/>
        <v>9</v>
      </c>
      <c r="T1">
        <f t="shared" si="0"/>
        <v>10</v>
      </c>
      <c r="U1">
        <f t="shared" si="0"/>
        <v>11</v>
      </c>
      <c r="V1">
        <f t="shared" si="0"/>
        <v>12</v>
      </c>
      <c r="W1">
        <f t="shared" si="0"/>
        <v>13</v>
      </c>
      <c r="X1">
        <f t="shared" si="0"/>
        <v>14</v>
      </c>
      <c r="Y1">
        <f t="shared" si="0"/>
        <v>15</v>
      </c>
      <c r="Z1">
        <f t="shared" si="0"/>
        <v>16</v>
      </c>
      <c r="AA1">
        <f t="shared" ref="AA1:AD1" si="1">Z1+1</f>
        <v>17</v>
      </c>
      <c r="AB1">
        <f t="shared" si="1"/>
        <v>18</v>
      </c>
      <c r="AC1">
        <f t="shared" si="1"/>
        <v>19</v>
      </c>
      <c r="AD1">
        <f t="shared" si="1"/>
        <v>20</v>
      </c>
      <c r="AF1" s="38" t="s">
        <v>12</v>
      </c>
    </row>
    <row r="2" spans="1:125" s="1" customFormat="1" ht="20.25" customHeight="1" x14ac:dyDescent="0.25">
      <c r="B2" s="2"/>
      <c r="C2" s="3"/>
      <c r="D2" s="30"/>
      <c r="E2" s="30"/>
      <c r="F2" s="4"/>
      <c r="G2" s="4"/>
      <c r="H2" s="4"/>
      <c r="I2" s="19"/>
      <c r="J2" s="4"/>
      <c r="K2" s="14" t="s">
        <v>1</v>
      </c>
      <c r="L2" s="17">
        <f t="shared" ref="L2:AD2" si="2">L10</f>
        <v>-2</v>
      </c>
      <c r="M2" s="17">
        <f t="shared" si="2"/>
        <v>-1</v>
      </c>
      <c r="N2" s="17">
        <f t="shared" si="2"/>
        <v>0</v>
      </c>
      <c r="O2" s="17">
        <f t="shared" si="2"/>
        <v>1</v>
      </c>
      <c r="P2" s="17">
        <f t="shared" si="2"/>
        <v>2</v>
      </c>
      <c r="Q2" s="17">
        <f t="shared" si="2"/>
        <v>3</v>
      </c>
      <c r="R2" s="17">
        <f t="shared" si="2"/>
        <v>4</v>
      </c>
      <c r="S2" s="17">
        <f t="shared" si="2"/>
        <v>5</v>
      </c>
      <c r="T2" s="17">
        <f t="shared" si="2"/>
        <v>6</v>
      </c>
      <c r="U2" s="17">
        <f t="shared" si="2"/>
        <v>7</v>
      </c>
      <c r="V2" s="17">
        <f t="shared" si="2"/>
        <v>8</v>
      </c>
      <c r="W2" s="17">
        <f t="shared" si="2"/>
        <v>9</v>
      </c>
      <c r="X2" s="17">
        <f t="shared" si="2"/>
        <v>10</v>
      </c>
      <c r="Y2" s="17">
        <f t="shared" si="2"/>
        <v>11</v>
      </c>
      <c r="Z2" s="17">
        <f t="shared" si="2"/>
        <v>12</v>
      </c>
      <c r="AA2" s="17">
        <f t="shared" si="2"/>
        <v>13</v>
      </c>
      <c r="AB2" s="17">
        <f t="shared" si="2"/>
        <v>14</v>
      </c>
      <c r="AC2" s="17">
        <f t="shared" si="2"/>
        <v>15</v>
      </c>
      <c r="AD2" s="17">
        <f t="shared" si="2"/>
        <v>16</v>
      </c>
      <c r="AG2" s="33"/>
      <c r="AH2" s="33"/>
      <c r="AN2" s="6"/>
    </row>
    <row r="3" spans="1:125" s="1" customFormat="1" ht="20.25" customHeight="1" x14ac:dyDescent="0.25">
      <c r="B3" s="2"/>
      <c r="C3" s="3"/>
      <c r="D3" s="30"/>
      <c r="E3" s="30"/>
      <c r="F3" s="4"/>
      <c r="G3" s="4"/>
      <c r="H3" s="4"/>
      <c r="I3" s="19"/>
      <c r="J3" s="4"/>
      <c r="K3" s="9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G3" s="33"/>
      <c r="AH3" s="33"/>
      <c r="AN3" s="6"/>
    </row>
    <row r="4" spans="1:125" s="1" customFormat="1" ht="20.25" customHeight="1" x14ac:dyDescent="0.25">
      <c r="B4" s="2"/>
      <c r="C4" s="3"/>
      <c r="D4" s="30"/>
      <c r="E4" s="30"/>
      <c r="F4" s="4"/>
      <c r="G4" s="4"/>
      <c r="H4" s="4"/>
      <c r="I4" s="19"/>
      <c r="J4" s="4"/>
      <c r="K4" s="9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G4" s="33"/>
      <c r="AH4" s="33"/>
      <c r="AN4" s="6"/>
    </row>
    <row r="5" spans="1:125" s="1" customFormat="1" ht="20.25" customHeight="1" x14ac:dyDescent="0.25">
      <c r="B5" s="2"/>
      <c r="C5" s="3"/>
      <c r="D5" s="30"/>
      <c r="E5" s="30"/>
      <c r="F5" s="4"/>
      <c r="G5" s="4"/>
      <c r="H5" s="4"/>
      <c r="I5" s="19"/>
      <c r="J5" s="4"/>
      <c r="K5" s="9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G5" s="33"/>
      <c r="AH5" s="33"/>
      <c r="AN5" s="6"/>
    </row>
    <row r="6" spans="1:125" s="1" customFormat="1" ht="20.25" customHeight="1" x14ac:dyDescent="0.25">
      <c r="B6" s="2"/>
      <c r="C6" s="3"/>
      <c r="D6" s="30"/>
      <c r="E6" s="30"/>
      <c r="F6" s="4"/>
      <c r="G6" s="4"/>
      <c r="H6" s="4"/>
      <c r="I6" s="19"/>
      <c r="J6" s="4"/>
      <c r="K6" s="9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G6" s="33"/>
      <c r="AH6" s="33"/>
      <c r="AN6" s="6"/>
    </row>
    <row r="7" spans="1:125" s="1" customFormat="1" ht="20.25" customHeight="1" x14ac:dyDescent="0.25">
      <c r="B7" s="2"/>
      <c r="C7" s="3"/>
      <c r="D7" s="30"/>
      <c r="E7" s="30"/>
      <c r="F7" s="4"/>
      <c r="G7" s="4"/>
      <c r="H7" s="4"/>
      <c r="I7" s="19"/>
      <c r="J7" s="4"/>
      <c r="K7" s="9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G7" s="33"/>
      <c r="AH7" s="33"/>
      <c r="AN7" s="6"/>
    </row>
    <row r="8" spans="1:125" s="1" customFormat="1" ht="20.25" customHeight="1" x14ac:dyDescent="0.25">
      <c r="B8" s="2"/>
      <c r="C8" s="3"/>
      <c r="D8" s="30"/>
      <c r="E8" s="30"/>
      <c r="F8" s="4"/>
      <c r="G8" s="4"/>
      <c r="H8" s="4"/>
      <c r="I8" s="19"/>
      <c r="J8" s="4"/>
      <c r="K8" s="9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G8" s="33"/>
      <c r="AH8" s="33"/>
      <c r="AN8" s="6"/>
    </row>
    <row r="9" spans="1:125" s="1" customFormat="1" ht="20.25" customHeight="1" x14ac:dyDescent="0.25">
      <c r="B9" s="2"/>
      <c r="C9" s="3"/>
      <c r="D9" s="30"/>
      <c r="E9" s="30"/>
      <c r="F9" s="4"/>
      <c r="G9" s="4"/>
      <c r="H9" s="4"/>
      <c r="I9" s="19"/>
      <c r="J9" s="4"/>
      <c r="K9" s="23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G9" s="33"/>
      <c r="AH9" s="33"/>
      <c r="AN9" s="6"/>
    </row>
    <row r="10" spans="1:125" s="1" customFormat="1" ht="26.25" customHeight="1" x14ac:dyDescent="0.25">
      <c r="A10" s="29" t="s">
        <v>13</v>
      </c>
      <c r="B10" s="29" t="s">
        <v>0</v>
      </c>
      <c r="C10" s="29" t="s">
        <v>14</v>
      </c>
      <c r="D10" s="28" t="s">
        <v>4</v>
      </c>
      <c r="E10" s="28" t="s">
        <v>5</v>
      </c>
      <c r="F10" s="14" t="s">
        <v>6</v>
      </c>
      <c r="G10" s="14" t="s">
        <v>15</v>
      </c>
      <c r="H10" s="14" t="s">
        <v>7</v>
      </c>
      <c r="I10" s="20" t="s">
        <v>8</v>
      </c>
      <c r="J10" s="14" t="s">
        <v>3</v>
      </c>
      <c r="K10" s="10" t="s">
        <v>2</v>
      </c>
      <c r="L10" s="11">
        <f>MIN(D:D)-2</f>
        <v>-2</v>
      </c>
      <c r="M10" s="11">
        <f>L10+1</f>
        <v>-1</v>
      </c>
      <c r="N10" s="11">
        <f>M10+1</f>
        <v>0</v>
      </c>
      <c r="O10" s="11">
        <f t="shared" ref="O10:AD10" si="3">N10+1</f>
        <v>1</v>
      </c>
      <c r="P10" s="11">
        <f t="shared" si="3"/>
        <v>2</v>
      </c>
      <c r="Q10" s="11">
        <f t="shared" si="3"/>
        <v>3</v>
      </c>
      <c r="R10" s="11">
        <f t="shared" si="3"/>
        <v>4</v>
      </c>
      <c r="S10" s="11">
        <f t="shared" si="3"/>
        <v>5</v>
      </c>
      <c r="T10" s="11">
        <f t="shared" si="3"/>
        <v>6</v>
      </c>
      <c r="U10" s="11">
        <f t="shared" si="3"/>
        <v>7</v>
      </c>
      <c r="V10" s="11">
        <f t="shared" si="3"/>
        <v>8</v>
      </c>
      <c r="W10" s="11">
        <f t="shared" si="3"/>
        <v>9</v>
      </c>
      <c r="X10" s="11">
        <f t="shared" si="3"/>
        <v>10</v>
      </c>
      <c r="Y10" s="11">
        <f t="shared" si="3"/>
        <v>11</v>
      </c>
      <c r="Z10" s="11">
        <f t="shared" si="3"/>
        <v>12</v>
      </c>
      <c r="AA10" s="11">
        <f t="shared" si="3"/>
        <v>13</v>
      </c>
      <c r="AB10" s="11">
        <f t="shared" si="3"/>
        <v>14</v>
      </c>
      <c r="AC10" s="11">
        <f t="shared" si="3"/>
        <v>15</v>
      </c>
      <c r="AD10" s="11">
        <f t="shared" si="3"/>
        <v>16</v>
      </c>
      <c r="AE10" s="7"/>
      <c r="AF10" s="7" t="s">
        <v>11</v>
      </c>
      <c r="AG10" s="35"/>
      <c r="AH10" s="33">
        <f>SUM(AH12:AH35)</f>
        <v>0</v>
      </c>
      <c r="AI10" s="11">
        <f>L10</f>
        <v>-2</v>
      </c>
      <c r="AJ10" s="11">
        <f t="shared" ref="AJ10:AW11" si="4">M10</f>
        <v>-1</v>
      </c>
      <c r="AK10" s="11">
        <f t="shared" si="4"/>
        <v>0</v>
      </c>
      <c r="AL10" s="11">
        <f t="shared" si="4"/>
        <v>1</v>
      </c>
      <c r="AM10" s="11">
        <f t="shared" si="4"/>
        <v>2</v>
      </c>
      <c r="AN10" s="11">
        <f t="shared" si="4"/>
        <v>3</v>
      </c>
      <c r="AO10" s="11">
        <f t="shared" si="4"/>
        <v>4</v>
      </c>
      <c r="AP10" s="11">
        <f t="shared" si="4"/>
        <v>5</v>
      </c>
      <c r="AQ10" s="11">
        <f t="shared" si="4"/>
        <v>6</v>
      </c>
      <c r="AR10" s="11">
        <f t="shared" si="4"/>
        <v>7</v>
      </c>
      <c r="AS10" s="11">
        <f t="shared" si="4"/>
        <v>8</v>
      </c>
      <c r="AT10" s="11">
        <f t="shared" si="4"/>
        <v>9</v>
      </c>
      <c r="AU10" s="11">
        <f t="shared" si="4"/>
        <v>10</v>
      </c>
      <c r="AV10" s="11">
        <f t="shared" si="4"/>
        <v>11</v>
      </c>
      <c r="AW10" s="11">
        <f t="shared" si="4"/>
        <v>12</v>
      </c>
      <c r="AX10" s="11">
        <f t="shared" ref="AX10:BA11" si="5">AA10</f>
        <v>13</v>
      </c>
      <c r="AY10" s="11">
        <f t="shared" si="5"/>
        <v>14</v>
      </c>
      <c r="AZ10" s="11">
        <f t="shared" si="5"/>
        <v>15</v>
      </c>
      <c r="BA10" s="11">
        <f t="shared" si="5"/>
        <v>16</v>
      </c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  <c r="CQ10" s="7"/>
      <c r="CR10" s="7"/>
      <c r="CS10" s="7"/>
      <c r="CT10" s="7"/>
      <c r="CU10" s="7"/>
      <c r="CV10" s="7"/>
      <c r="CW10" s="7"/>
      <c r="CX10" s="7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  <c r="DN10" s="7"/>
      <c r="DO10" s="7"/>
      <c r="DP10" s="7"/>
      <c r="DQ10" s="7"/>
      <c r="DR10" s="7"/>
      <c r="DS10" s="7"/>
      <c r="DT10" s="7"/>
      <c r="DU10" s="7"/>
    </row>
    <row r="11" spans="1:125" s="1" customFormat="1" ht="17.25" customHeight="1" x14ac:dyDescent="0.25">
      <c r="A11" s="12"/>
      <c r="B11" s="12"/>
      <c r="C11" s="13"/>
      <c r="D11" s="28"/>
      <c r="E11" s="28"/>
      <c r="F11" s="14"/>
      <c r="G11" s="14"/>
      <c r="H11" s="14"/>
      <c r="I11" s="20"/>
      <c r="J11" s="14"/>
      <c r="K11" s="24"/>
      <c r="L11" s="11">
        <f>L10+1</f>
        <v>-1</v>
      </c>
      <c r="M11" s="11">
        <f>L11+1</f>
        <v>0</v>
      </c>
      <c r="N11" s="11">
        <f>M11+1</f>
        <v>1</v>
      </c>
      <c r="O11" s="11">
        <f t="shared" ref="O11:AD11" si="6">N11+1</f>
        <v>2</v>
      </c>
      <c r="P11" s="11">
        <f t="shared" si="6"/>
        <v>3</v>
      </c>
      <c r="Q11" s="11">
        <f t="shared" si="6"/>
        <v>4</v>
      </c>
      <c r="R11" s="11">
        <f t="shared" si="6"/>
        <v>5</v>
      </c>
      <c r="S11" s="11">
        <f t="shared" si="6"/>
        <v>6</v>
      </c>
      <c r="T11" s="11">
        <f t="shared" si="6"/>
        <v>7</v>
      </c>
      <c r="U11" s="11">
        <f t="shared" si="6"/>
        <v>8</v>
      </c>
      <c r="V11" s="11">
        <f t="shared" si="6"/>
        <v>9</v>
      </c>
      <c r="W11" s="11">
        <f t="shared" si="6"/>
        <v>10</v>
      </c>
      <c r="X11" s="11">
        <f t="shared" si="6"/>
        <v>11</v>
      </c>
      <c r="Y11" s="11">
        <f t="shared" si="6"/>
        <v>12</v>
      </c>
      <c r="Z11" s="11">
        <f t="shared" si="6"/>
        <v>13</v>
      </c>
      <c r="AA11" s="11">
        <f t="shared" si="6"/>
        <v>14</v>
      </c>
      <c r="AB11" s="11">
        <f t="shared" si="6"/>
        <v>15</v>
      </c>
      <c r="AC11" s="11">
        <f t="shared" si="6"/>
        <v>16</v>
      </c>
      <c r="AD11" s="11">
        <f t="shared" si="6"/>
        <v>17</v>
      </c>
      <c r="AE11" s="7"/>
      <c r="AF11" s="7" t="s">
        <v>9</v>
      </c>
      <c r="AG11" s="33" t="s">
        <v>10</v>
      </c>
      <c r="AH11" s="33" t="s">
        <v>2</v>
      </c>
      <c r="AI11" s="11">
        <f>L11</f>
        <v>-1</v>
      </c>
      <c r="AJ11" s="11">
        <f t="shared" si="4"/>
        <v>0</v>
      </c>
      <c r="AK11" s="11">
        <f t="shared" si="4"/>
        <v>1</v>
      </c>
      <c r="AL11" s="11">
        <f t="shared" si="4"/>
        <v>2</v>
      </c>
      <c r="AM11" s="11">
        <f t="shared" si="4"/>
        <v>3</v>
      </c>
      <c r="AN11" s="11">
        <f t="shared" si="4"/>
        <v>4</v>
      </c>
      <c r="AO11" s="11">
        <f t="shared" si="4"/>
        <v>5</v>
      </c>
      <c r="AP11" s="11">
        <f t="shared" si="4"/>
        <v>6</v>
      </c>
      <c r="AQ11" s="11">
        <f t="shared" si="4"/>
        <v>7</v>
      </c>
      <c r="AR11" s="11">
        <f t="shared" si="4"/>
        <v>8</v>
      </c>
      <c r="AS11" s="11">
        <f t="shared" si="4"/>
        <v>9</v>
      </c>
      <c r="AT11" s="11">
        <f t="shared" si="4"/>
        <v>10</v>
      </c>
      <c r="AU11" s="11">
        <f t="shared" si="4"/>
        <v>11</v>
      </c>
      <c r="AV11" s="11">
        <f t="shared" si="4"/>
        <v>12</v>
      </c>
      <c r="AW11" s="11">
        <f t="shared" si="4"/>
        <v>13</v>
      </c>
      <c r="AX11" s="11">
        <f t="shared" si="5"/>
        <v>14</v>
      </c>
      <c r="AY11" s="11">
        <f t="shared" si="5"/>
        <v>15</v>
      </c>
      <c r="AZ11" s="11">
        <f t="shared" si="5"/>
        <v>16</v>
      </c>
      <c r="BA11" s="11">
        <f t="shared" si="5"/>
        <v>17</v>
      </c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  <c r="DO11" s="7"/>
      <c r="DP11" s="7"/>
      <c r="DQ11" s="7"/>
      <c r="DR11" s="7"/>
      <c r="DS11" s="7"/>
      <c r="DT11" s="7"/>
      <c r="DU11" s="7"/>
    </row>
    <row r="12" spans="1:125" s="1" customFormat="1" x14ac:dyDescent="0.25">
      <c r="A12" s="27"/>
      <c r="B12" s="8"/>
      <c r="C12"/>
      <c r="D12" s="31"/>
      <c r="E12" s="31"/>
      <c r="F12" s="26"/>
      <c r="G12" s="26"/>
      <c r="H12" s="26"/>
      <c r="I12" s="21">
        <f>E12-D12</f>
        <v>0</v>
      </c>
      <c r="J12" s="4"/>
      <c r="K12" s="25">
        <f>SUM(L12:AD12)</f>
        <v>0</v>
      </c>
      <c r="L12" s="16" t="str">
        <f>IF(AND(L$10&gt;=$D12,L$11&lt;=$E12),VLOOKUP($F12,$K$2:Z$8,L$1,"Falsch"),"")</f>
        <v/>
      </c>
      <c r="M12" s="16" t="str">
        <f>IF(AND(M$10&gt;=$D12,M$11&lt;=$E12),VLOOKUP($F12,$K$2:AA$8,M$1,"Falsch"),"")</f>
        <v/>
      </c>
      <c r="N12" s="16" t="str">
        <f>IF(AND(N$10&gt;=$D12,N$11&lt;=$E12),VLOOKUP($F12,$K$2:AB$8,N$1,"Falsch"),"")</f>
        <v/>
      </c>
      <c r="O12" s="16" t="str">
        <f>IF(AND(O$10&gt;=$D12,O$11&lt;=$E12),VLOOKUP($F12,$K$2:AC$8,O$1,"Falsch"),"")</f>
        <v/>
      </c>
      <c r="P12" s="16" t="str">
        <f>IF(AND(P$10&gt;=$D12,P$11&lt;=$E12),VLOOKUP($F12,$K$2:AD$8,P$1,"Falsch"),"")</f>
        <v/>
      </c>
      <c r="Q12" s="16" t="str">
        <f>IF(AND(Q$10&gt;=$D12,Q$11&lt;=$E12),VLOOKUP($F12,$K$2:AE$8,Q$1,"Falsch"),"")</f>
        <v/>
      </c>
      <c r="R12" s="16" t="str">
        <f>IF(AND(R$10&gt;=$D12,R$11&lt;=$E12),VLOOKUP($F12,$K$2:AF$8,R$1,"Falsch"),"")</f>
        <v/>
      </c>
      <c r="S12" s="16" t="str">
        <f>IF(AND(S$10&gt;=$D12,S$11&lt;=$E12),VLOOKUP($F12,$K$2:AG$8,S$1,"Falsch"),"")</f>
        <v/>
      </c>
      <c r="T12" s="16" t="str">
        <f>IF(AND(T$10&gt;=$D12,T$11&lt;=$E12),VLOOKUP($F12,$K$2:AH$8,T$1,"Falsch"),"")</f>
        <v/>
      </c>
      <c r="U12" s="16" t="str">
        <f>IF(AND(U$10&gt;=$D12,U$11&lt;=$E12),VLOOKUP($F12,$K$2:AI$8,U$1,"Falsch"),"")</f>
        <v/>
      </c>
      <c r="V12" s="16" t="str">
        <f>IF(AND(V$10&gt;=$D12,V$11&lt;=$E12),VLOOKUP($F12,$K$2:AJ$8,V$1,"Falsch"),"")</f>
        <v/>
      </c>
      <c r="W12" s="16" t="str">
        <f>IF(AND(W$10&gt;=$D12,W$11&lt;=$E12),VLOOKUP($F12,$K$2:AK$8,W$1,"Falsch"),"")</f>
        <v/>
      </c>
      <c r="X12" s="16" t="str">
        <f>IF(AND(X$10&gt;=$D12,X$11&lt;=$E12),VLOOKUP($F12,$K$2:AL$8,X$1,"Falsch"),"")</f>
        <v/>
      </c>
      <c r="Y12" s="16" t="str">
        <f>IF(AND(Y$10&gt;=$D12,Y$11&lt;=$E12),VLOOKUP($F12,$K$2:AM$8,Y$1,"Falsch"),"")</f>
        <v/>
      </c>
      <c r="Z12" s="16" t="str">
        <f>IF(AND(Z$10&gt;=$D12,Z$11&lt;=$E12),VLOOKUP($F12,$K$2:AN$8,Z$1,"Falsch"),"")</f>
        <v/>
      </c>
      <c r="AA12" s="16" t="str">
        <f>IF(AND(AA$10&gt;=$D12,AA$11&lt;=$E12),VLOOKUP($F12,$K$2:AO$8,AA$1,"Falsch"),"")</f>
        <v/>
      </c>
      <c r="AB12" s="16" t="str">
        <f>IF(AND(AB$10&gt;=$D12,AB$11&lt;=$E12),VLOOKUP($F12,$K$2:AP$8,AB$1,"Falsch"),"")</f>
        <v/>
      </c>
      <c r="AC12" s="16" t="str">
        <f>IF(AND(AC$10&gt;=$D12,AC$11&lt;=$E12),VLOOKUP($F12,$K$2:AQ$8,AC$1,"Falsch"),"")</f>
        <v/>
      </c>
      <c r="AD12" s="16" t="str">
        <f>IF(AND(AD$10&gt;=$D12,AD$11&lt;=$E12),VLOOKUP($F12,$K$2:AR$8,AD$1,"Falsch"),"")</f>
        <v/>
      </c>
      <c r="AF12" s="37">
        <f>SUM(AI12:BA12)</f>
        <v>0</v>
      </c>
      <c r="AG12" s="35"/>
      <c r="AH12" s="33">
        <f>AF12*AG12</f>
        <v>0</v>
      </c>
      <c r="AI12" s="1" t="str">
        <f t="shared" ref="AI12:BA12" si="7">IF($AG12="","",COUNTIFS($A$12:$A$368,$AG$10,L$12:L$368,$AG12))</f>
        <v/>
      </c>
      <c r="AJ12" s="1" t="str">
        <f t="shared" si="7"/>
        <v/>
      </c>
      <c r="AK12" s="1" t="str">
        <f t="shared" si="7"/>
        <v/>
      </c>
      <c r="AL12" s="1" t="str">
        <f t="shared" si="7"/>
        <v/>
      </c>
      <c r="AM12" s="1" t="str">
        <f t="shared" si="7"/>
        <v/>
      </c>
      <c r="AN12" s="1" t="str">
        <f t="shared" si="7"/>
        <v/>
      </c>
      <c r="AO12" s="1" t="str">
        <f t="shared" si="7"/>
        <v/>
      </c>
      <c r="AP12" s="1" t="str">
        <f t="shared" si="7"/>
        <v/>
      </c>
      <c r="AQ12" s="1" t="str">
        <f t="shared" si="7"/>
        <v/>
      </c>
      <c r="AR12" s="1" t="str">
        <f t="shared" si="7"/>
        <v/>
      </c>
      <c r="AS12" s="1" t="str">
        <f t="shared" si="7"/>
        <v/>
      </c>
      <c r="AT12" s="1" t="str">
        <f t="shared" si="7"/>
        <v/>
      </c>
      <c r="AU12" s="1" t="str">
        <f t="shared" si="7"/>
        <v/>
      </c>
      <c r="AV12" s="1" t="str">
        <f t="shared" si="7"/>
        <v/>
      </c>
      <c r="AW12" s="1" t="str">
        <f t="shared" si="7"/>
        <v/>
      </c>
      <c r="AX12" s="1" t="str">
        <f t="shared" si="7"/>
        <v/>
      </c>
      <c r="AY12" s="1" t="str">
        <f t="shared" si="7"/>
        <v/>
      </c>
      <c r="AZ12" s="1" t="str">
        <f t="shared" si="7"/>
        <v/>
      </c>
      <c r="BA12" s="1" t="str">
        <f t="shared" si="7"/>
        <v/>
      </c>
    </row>
    <row r="13" spans="1:125" s="1" customFormat="1" ht="12.75" customHeight="1" x14ac:dyDescent="0.25">
      <c r="A13" s="27"/>
      <c r="B13" s="8"/>
      <c r="C13"/>
      <c r="D13" s="31"/>
      <c r="E13" s="31"/>
      <c r="F13" s="26"/>
      <c r="G13" s="26"/>
      <c r="H13" s="26"/>
      <c r="I13" s="21">
        <f t="shared" ref="I13:I76" si="8">E13-D13</f>
        <v>0</v>
      </c>
      <c r="J13" s="4"/>
      <c r="K13" s="25">
        <f t="shared" ref="K13:K76" si="9">SUM(L13:AD13)</f>
        <v>0</v>
      </c>
      <c r="L13" s="16" t="str">
        <f>IF(AND(L$10&gt;=$D13,L$11&lt;=$E13),VLOOKUP($F13,$K$2:Z$8,L$1,"Falsch"),"")</f>
        <v/>
      </c>
      <c r="M13" s="16" t="str">
        <f>IF(AND(M$10&gt;=$D13,M$11&lt;=$E13),VLOOKUP($F13,$K$2:AA$8,M$1,"Falsch"),"")</f>
        <v/>
      </c>
      <c r="N13" s="16" t="str">
        <f>IF(AND(N$10&gt;=$D13,N$11&lt;=$E13),VLOOKUP($F13,$K$2:AB$8,N$1,"Falsch"),"")</f>
        <v/>
      </c>
      <c r="O13" s="16" t="str">
        <f>IF(AND(O$10&gt;=$D13,O$11&lt;=$E13),VLOOKUP($F13,$K$2:AC$8,O$1,"Falsch"),"")</f>
        <v/>
      </c>
      <c r="P13" s="16" t="str">
        <f>IF(AND(P$10&gt;=$D13,P$11&lt;=$E13),VLOOKUP($F13,$K$2:AD$8,P$1,"Falsch"),"")</f>
        <v/>
      </c>
      <c r="Q13" s="16" t="str">
        <f>IF(AND(Q$10&gt;=$D13,Q$11&lt;=$E13),VLOOKUP($F13,$K$2:AE$8,Q$1,"Falsch"),"")</f>
        <v/>
      </c>
      <c r="R13" s="16" t="str">
        <f>IF(AND(R$10&gt;=$D13,R$11&lt;=$E13),VLOOKUP($F13,$K$2:AF$8,R$1,"Falsch"),"")</f>
        <v/>
      </c>
      <c r="S13" s="16" t="str">
        <f>IF(AND(S$10&gt;=$D13,S$11&lt;=$E13),VLOOKUP($F13,$K$2:AG$8,S$1,"Falsch"),"")</f>
        <v/>
      </c>
      <c r="T13" s="16" t="str">
        <f>IF(AND(T$10&gt;=$D13,T$11&lt;=$E13),VLOOKUP($F13,$K$2:AH$8,T$1,"Falsch"),"")</f>
        <v/>
      </c>
      <c r="U13" s="16" t="str">
        <f>IF(AND(U$10&gt;=$D13,U$11&lt;=$E13),VLOOKUP($F13,$K$2:AI$8,U$1,"Falsch"),"")</f>
        <v/>
      </c>
      <c r="V13" s="16" t="str">
        <f>IF(AND(V$10&gt;=$D13,V$11&lt;=$E13),VLOOKUP($F13,$K$2:AJ$8,V$1,"Falsch"),"")</f>
        <v/>
      </c>
      <c r="W13" s="16" t="str">
        <f>IF(AND(W$10&gt;=$D13,W$11&lt;=$E13),VLOOKUP($F13,$K$2:AK$8,W$1,"Falsch"),"")</f>
        <v/>
      </c>
      <c r="X13" s="16" t="str">
        <f>IF(AND(X$10&gt;=$D13,X$11&lt;=$E13),VLOOKUP($F13,$K$2:AL$8,X$1,"Falsch"),"")</f>
        <v/>
      </c>
      <c r="Y13" s="16" t="str">
        <f>IF(AND(Y$10&gt;=$D13,Y$11&lt;=$E13),VLOOKUP($F13,$K$2:AM$8,Y$1,"Falsch"),"")</f>
        <v/>
      </c>
      <c r="Z13" s="16" t="str">
        <f>IF(AND(Z$10&gt;=$D13,Z$11&lt;=$E13),VLOOKUP($F13,$K$2:AN$8,Z$1,"Falsch"),"")</f>
        <v/>
      </c>
      <c r="AA13" s="16" t="str">
        <f>IF(AND(AA$10&gt;=$D13,AA$11&lt;=$E13),VLOOKUP($F13,$K$2:AO$8,AA$1,"Falsch"),"")</f>
        <v/>
      </c>
      <c r="AB13" s="16" t="str">
        <f>IF(AND(AB$10&gt;=$D13,AB$11&lt;=$E13),VLOOKUP($F13,$K$2:AP$8,AB$1,"Falsch"),"")</f>
        <v/>
      </c>
      <c r="AC13" s="16" t="str">
        <f>IF(AND(AC$10&gt;=$D13,AC$11&lt;=$E13),VLOOKUP($F13,$K$2:AQ$8,AC$1,"Falsch"),"")</f>
        <v/>
      </c>
      <c r="AD13" s="16" t="str">
        <f>IF(AND(AD$10&gt;=$D13,AD$11&lt;=$E13),VLOOKUP($F13,$K$2:AR$8,AD$1,"Falsch"),"")</f>
        <v/>
      </c>
      <c r="AF13" s="37">
        <f t="shared" ref="AF13:AF23" si="10">SUM(AI13:BA13)</f>
        <v>0</v>
      </c>
      <c r="AG13" s="35"/>
      <c r="AH13" s="33">
        <f t="shared" ref="AH13:AH23" si="11">AF13*AG13</f>
        <v>0</v>
      </c>
      <c r="AI13" s="1" t="str">
        <f t="shared" ref="AI13:AI23" si="12">IF($AG13="","",COUNTIFS($A$12:$A$368,$AG$10,L$12:L$368,$AG13))</f>
        <v/>
      </c>
      <c r="AJ13" s="1" t="str">
        <f t="shared" ref="AJ13:AJ23" si="13">IF($AG13="","",COUNTIFS($A$12:$A$368,$AG$10,M$12:M$368,$AG13))</f>
        <v/>
      </c>
      <c r="AK13" s="1" t="str">
        <f t="shared" ref="AK13:AK23" si="14">IF($AG13="","",COUNTIFS($A$12:$A$368,$AG$10,N$12:N$368,$AG13))</f>
        <v/>
      </c>
      <c r="AL13" s="1" t="str">
        <f t="shared" ref="AL13:AL23" si="15">IF($AG13="","",COUNTIFS($A$12:$A$368,$AG$10,O$12:O$368,$AG13))</f>
        <v/>
      </c>
      <c r="AM13" s="1" t="str">
        <f t="shared" ref="AM13:AM23" si="16">IF($AG13="","",COUNTIFS($A$12:$A$368,$AG$10,P$12:P$368,$AG13))</f>
        <v/>
      </c>
      <c r="AN13" s="1" t="str">
        <f t="shared" ref="AN13:AN23" si="17">IF($AG13="","",COUNTIFS($A$12:$A$368,$AG$10,Q$12:Q$368,$AG13))</f>
        <v/>
      </c>
      <c r="AO13" s="1" t="str">
        <f t="shared" ref="AO13:AO23" si="18">IF($AG13="","",COUNTIFS($A$12:$A$368,$AG$10,R$12:R$368,$AG13))</f>
        <v/>
      </c>
      <c r="AP13" s="1" t="str">
        <f t="shared" ref="AP13:AP23" si="19">IF($AG13="","",COUNTIFS($A$12:$A$368,$AG$10,S$12:S$368,$AG13))</f>
        <v/>
      </c>
      <c r="AQ13" s="1" t="str">
        <f t="shared" ref="AQ13:AQ23" si="20">IF($AG13="","",COUNTIFS($A$12:$A$368,$AG$10,T$12:T$368,$AG13))</f>
        <v/>
      </c>
      <c r="AR13" s="1" t="str">
        <f t="shared" ref="AR13:AR23" si="21">IF($AG13="","",COUNTIFS($A$12:$A$368,$AG$10,U$12:U$368,$AG13))</f>
        <v/>
      </c>
      <c r="AS13" s="1" t="str">
        <f t="shared" ref="AS13:AS23" si="22">IF($AG13="","",COUNTIFS($A$12:$A$368,$AG$10,V$12:V$368,$AG13))</f>
        <v/>
      </c>
      <c r="AT13" s="1" t="str">
        <f t="shared" ref="AT13:AT23" si="23">IF($AG13="","",COUNTIFS($A$12:$A$368,$AG$10,W$12:W$368,$AG13))</f>
        <v/>
      </c>
      <c r="AU13" s="1" t="str">
        <f t="shared" ref="AU13:AU23" si="24">IF($AG13="","",COUNTIFS($A$12:$A$368,$AG$10,X$12:X$368,$AG13))</f>
        <v/>
      </c>
      <c r="AV13" s="1" t="str">
        <f t="shared" ref="AV13:AV23" si="25">IF($AG13="","",COUNTIFS($A$12:$A$368,$AG$10,Y$12:Y$368,$AG13))</f>
        <v/>
      </c>
      <c r="AW13" s="1" t="str">
        <f t="shared" ref="AW13:AW23" si="26">IF($AG13="","",COUNTIFS($A$12:$A$368,$AG$10,Z$12:Z$368,$AG13))</f>
        <v/>
      </c>
      <c r="AX13" s="1" t="str">
        <f t="shared" ref="AX13:AX23" si="27">IF($AG13="","",COUNTIFS($A$12:$A$368,$AG$10,AA$12:AA$368,$AG13))</f>
        <v/>
      </c>
      <c r="AY13" s="1" t="str">
        <f t="shared" ref="AY13:AY23" si="28">IF($AG13="","",COUNTIFS($A$12:$A$368,$AG$10,AB$12:AB$368,$AG13))</f>
        <v/>
      </c>
      <c r="AZ13" s="1" t="str">
        <f t="shared" ref="AZ13:AZ23" si="29">IF($AG13="","",COUNTIFS($A$12:$A$368,$AG$10,AC$12:AC$368,$AG13))</f>
        <v/>
      </c>
      <c r="BA13" s="1" t="str">
        <f t="shared" ref="BA13:BA23" si="30">IF($AG13="","",COUNTIFS($A$12:$A$368,$AG$10,AD$12:AD$368,$AG13))</f>
        <v/>
      </c>
    </row>
    <row r="14" spans="1:125" s="1" customFormat="1" x14ac:dyDescent="0.25">
      <c r="A14" s="27"/>
      <c r="B14" s="8"/>
      <c r="C14"/>
      <c r="D14" s="31"/>
      <c r="E14" s="31"/>
      <c r="F14" s="26"/>
      <c r="G14" s="26"/>
      <c r="H14" s="26"/>
      <c r="I14" s="21">
        <f t="shared" si="8"/>
        <v>0</v>
      </c>
      <c r="J14" s="4"/>
      <c r="K14" s="25">
        <f t="shared" si="9"/>
        <v>0</v>
      </c>
      <c r="L14" s="16" t="str">
        <f>IF(AND(L$10&gt;=$D14,L$11&lt;=$E14),VLOOKUP($F14,$K$2:Z$8,L$1,"Falsch"),"")</f>
        <v/>
      </c>
      <c r="M14" s="16" t="str">
        <f>IF(AND(M$10&gt;=$D14,M$11&lt;=$E14),VLOOKUP($F14,$K$2:AA$8,M$1,"Falsch"),"")</f>
        <v/>
      </c>
      <c r="N14" s="16" t="str">
        <f>IF(AND(N$10&gt;=$D14,N$11&lt;=$E14),VLOOKUP($F14,$K$2:AB$8,N$1,"Falsch"),"")</f>
        <v/>
      </c>
      <c r="O14" s="16" t="str">
        <f>IF(AND(O$10&gt;=$D14,O$11&lt;=$E14),VLOOKUP($F14,$K$2:AC$8,O$1,"Falsch"),"")</f>
        <v/>
      </c>
      <c r="P14" s="16" t="str">
        <f>IF(AND(P$10&gt;=$D14,P$11&lt;=$E14),VLOOKUP($F14,$K$2:AD$8,P$1,"Falsch"),"")</f>
        <v/>
      </c>
      <c r="Q14" s="16" t="str">
        <f>IF(AND(Q$10&gt;=$D14,Q$11&lt;=$E14),VLOOKUP($F14,$K$2:AE$8,Q$1,"Falsch"),"")</f>
        <v/>
      </c>
      <c r="R14" s="16" t="str">
        <f>IF(AND(R$10&gt;=$D14,R$11&lt;=$E14),VLOOKUP($F14,$K$2:AF$8,R$1,"Falsch"),"")</f>
        <v/>
      </c>
      <c r="S14" s="16" t="str">
        <f>IF(AND(S$10&gt;=$D14,S$11&lt;=$E14),VLOOKUP($F14,$K$2:AG$8,S$1,"Falsch"),"")</f>
        <v/>
      </c>
      <c r="T14" s="16" t="str">
        <f>IF(AND(T$10&gt;=$D14,T$11&lt;=$E14),VLOOKUP($F14,$K$2:AH$8,T$1,"Falsch"),"")</f>
        <v/>
      </c>
      <c r="U14" s="16" t="str">
        <f>IF(AND(U$10&gt;=$D14,U$11&lt;=$E14),VLOOKUP($F14,$K$2:AI$8,U$1,"Falsch"),"")</f>
        <v/>
      </c>
      <c r="V14" s="16" t="str">
        <f>IF(AND(V$10&gt;=$D14,V$11&lt;=$E14),VLOOKUP($F14,$K$2:AJ$8,V$1,"Falsch"),"")</f>
        <v/>
      </c>
      <c r="W14" s="16" t="str">
        <f>IF(AND(W$10&gt;=$D14,W$11&lt;=$E14),VLOOKUP($F14,$K$2:AK$8,W$1,"Falsch"),"")</f>
        <v/>
      </c>
      <c r="X14" s="16" t="str">
        <f>IF(AND(X$10&gt;=$D14,X$11&lt;=$E14),VLOOKUP($F14,$K$2:AL$8,X$1,"Falsch"),"")</f>
        <v/>
      </c>
      <c r="Y14" s="16" t="str">
        <f>IF(AND(Y$10&gt;=$D14,Y$11&lt;=$E14),VLOOKUP($F14,$K$2:AM$8,Y$1,"Falsch"),"")</f>
        <v/>
      </c>
      <c r="Z14" s="16" t="str">
        <f>IF(AND(Z$10&gt;=$D14,Z$11&lt;=$E14),VLOOKUP($F14,$K$2:AN$8,Z$1,"Falsch"),"")</f>
        <v/>
      </c>
      <c r="AA14" s="16" t="str">
        <f>IF(AND(AA$10&gt;=$D14,AA$11&lt;=$E14),VLOOKUP($F14,$K$2:AO$8,AA$1,"Falsch"),"")</f>
        <v/>
      </c>
      <c r="AB14" s="16" t="str">
        <f>IF(AND(AB$10&gt;=$D14,AB$11&lt;=$E14),VLOOKUP($F14,$K$2:AP$8,AB$1,"Falsch"),"")</f>
        <v/>
      </c>
      <c r="AC14" s="16" t="str">
        <f>IF(AND(AC$10&gt;=$D14,AC$11&lt;=$E14),VLOOKUP($F14,$K$2:AQ$8,AC$1,"Falsch"),"")</f>
        <v/>
      </c>
      <c r="AD14" s="16" t="str">
        <f>IF(AND(AD$10&gt;=$D14,AD$11&lt;=$E14),VLOOKUP($F14,$K$2:AR$8,AD$1,"Falsch"),"")</f>
        <v/>
      </c>
      <c r="AF14" s="37">
        <f t="shared" si="10"/>
        <v>0</v>
      </c>
      <c r="AG14" s="35"/>
      <c r="AH14" s="33">
        <f t="shared" si="11"/>
        <v>0</v>
      </c>
      <c r="AI14" s="1" t="str">
        <f t="shared" si="12"/>
        <v/>
      </c>
      <c r="AJ14" s="1" t="str">
        <f t="shared" si="13"/>
        <v/>
      </c>
      <c r="AK14" s="1" t="str">
        <f t="shared" si="14"/>
        <v/>
      </c>
      <c r="AL14" s="1" t="str">
        <f t="shared" si="15"/>
        <v/>
      </c>
      <c r="AM14" s="1" t="str">
        <f t="shared" si="16"/>
        <v/>
      </c>
      <c r="AN14" s="1" t="str">
        <f t="shared" si="17"/>
        <v/>
      </c>
      <c r="AO14" s="1" t="str">
        <f t="shared" si="18"/>
        <v/>
      </c>
      <c r="AP14" s="1" t="str">
        <f t="shared" si="19"/>
        <v/>
      </c>
      <c r="AQ14" s="1" t="str">
        <f t="shared" si="20"/>
        <v/>
      </c>
      <c r="AR14" s="1" t="str">
        <f t="shared" si="21"/>
        <v/>
      </c>
      <c r="AS14" s="1" t="str">
        <f t="shared" si="22"/>
        <v/>
      </c>
      <c r="AT14" s="1" t="str">
        <f t="shared" si="23"/>
        <v/>
      </c>
      <c r="AU14" s="1" t="str">
        <f t="shared" si="24"/>
        <v/>
      </c>
      <c r="AV14" s="1" t="str">
        <f t="shared" si="25"/>
        <v/>
      </c>
      <c r="AW14" s="1" t="str">
        <f t="shared" si="26"/>
        <v/>
      </c>
      <c r="AX14" s="1" t="str">
        <f t="shared" si="27"/>
        <v/>
      </c>
      <c r="AY14" s="1" t="str">
        <f t="shared" si="28"/>
        <v/>
      </c>
      <c r="AZ14" s="1" t="str">
        <f t="shared" si="29"/>
        <v/>
      </c>
      <c r="BA14" s="1" t="str">
        <f t="shared" si="30"/>
        <v/>
      </c>
    </row>
    <row r="15" spans="1:125" s="1" customFormat="1" x14ac:dyDescent="0.25">
      <c r="A15" s="27"/>
      <c r="B15" s="8"/>
      <c r="C15"/>
      <c r="D15" s="31"/>
      <c r="E15" s="31"/>
      <c r="F15" s="26"/>
      <c r="G15" s="26"/>
      <c r="H15" s="26"/>
      <c r="I15" s="21">
        <f t="shared" si="8"/>
        <v>0</v>
      </c>
      <c r="J15" s="4"/>
      <c r="K15" s="25">
        <f t="shared" si="9"/>
        <v>0</v>
      </c>
      <c r="L15" s="16" t="str">
        <f>IF(AND(L$10&gt;=$D15,L$11&lt;=$E15),VLOOKUP($F15,$K$2:Z$8,L$1,"Falsch"),"")</f>
        <v/>
      </c>
      <c r="M15" s="16" t="str">
        <f>IF(AND(M$10&gt;=$D15,M$11&lt;=$E15),VLOOKUP($F15,$K$2:AA$8,M$1,"Falsch"),"")</f>
        <v/>
      </c>
      <c r="N15" s="16" t="str">
        <f>IF(AND(N$10&gt;=$D15,N$11&lt;=$E15),VLOOKUP($F15,$K$2:AB$8,N$1,"Falsch"),"")</f>
        <v/>
      </c>
      <c r="O15" s="16" t="str">
        <f>IF(AND(O$10&gt;=$D15,O$11&lt;=$E15),VLOOKUP($F15,$K$2:AC$8,O$1,"Falsch"),"")</f>
        <v/>
      </c>
      <c r="P15" s="16" t="str">
        <f>IF(AND(P$10&gt;=$D15,P$11&lt;=$E15),VLOOKUP($F15,$K$2:AD$8,P$1,"Falsch"),"")</f>
        <v/>
      </c>
      <c r="Q15" s="16" t="str">
        <f>IF(AND(Q$10&gt;=$D15,Q$11&lt;=$E15),VLOOKUP($F15,$K$2:AE$8,Q$1,"Falsch"),"")</f>
        <v/>
      </c>
      <c r="R15" s="16" t="str">
        <f>IF(AND(R$10&gt;=$D15,R$11&lt;=$E15),VLOOKUP($F15,$K$2:AF$8,R$1,"Falsch"),"")</f>
        <v/>
      </c>
      <c r="S15" s="16" t="str">
        <f>IF(AND(S$10&gt;=$D15,S$11&lt;=$E15),VLOOKUP($F15,$K$2:AG$8,S$1,"Falsch"),"")</f>
        <v/>
      </c>
      <c r="T15" s="16" t="str">
        <f>IF(AND(T$10&gt;=$D15,T$11&lt;=$E15),VLOOKUP($F15,$K$2:AH$8,T$1,"Falsch"),"")</f>
        <v/>
      </c>
      <c r="U15" s="16" t="str">
        <f>IF(AND(U$10&gt;=$D15,U$11&lt;=$E15),VLOOKUP($F15,$K$2:AI$8,U$1,"Falsch"),"")</f>
        <v/>
      </c>
      <c r="V15" s="16" t="str">
        <f>IF(AND(V$10&gt;=$D15,V$11&lt;=$E15),VLOOKUP($F15,$K$2:AJ$8,V$1,"Falsch"),"")</f>
        <v/>
      </c>
      <c r="W15" s="16" t="str">
        <f>IF(AND(W$10&gt;=$D15,W$11&lt;=$E15),VLOOKUP($F15,$K$2:AK$8,W$1,"Falsch"),"")</f>
        <v/>
      </c>
      <c r="X15" s="16" t="str">
        <f>IF(AND(X$10&gt;=$D15,X$11&lt;=$E15),VLOOKUP($F15,$K$2:AL$8,X$1,"Falsch"),"")</f>
        <v/>
      </c>
      <c r="Y15" s="16" t="str">
        <f>IF(AND(Y$10&gt;=$D15,Y$11&lt;=$E15),VLOOKUP($F15,$K$2:AM$8,Y$1,"Falsch"),"")</f>
        <v/>
      </c>
      <c r="Z15" s="16" t="str">
        <f>IF(AND(Z$10&gt;=$D15,Z$11&lt;=$E15),VLOOKUP($F15,$K$2:AN$8,Z$1,"Falsch"),"")</f>
        <v/>
      </c>
      <c r="AA15" s="16" t="str">
        <f>IF(AND(AA$10&gt;=$D15,AA$11&lt;=$E15),VLOOKUP($F15,$K$2:AO$8,AA$1,"Falsch"),"")</f>
        <v/>
      </c>
      <c r="AB15" s="16" t="str">
        <f>IF(AND(AB$10&gt;=$D15,AB$11&lt;=$E15),VLOOKUP($F15,$K$2:AP$8,AB$1,"Falsch"),"")</f>
        <v/>
      </c>
      <c r="AC15" s="16" t="str">
        <f>IF(AND(AC$10&gt;=$D15,AC$11&lt;=$E15),VLOOKUP($F15,$K$2:AQ$8,AC$1,"Falsch"),"")</f>
        <v/>
      </c>
      <c r="AD15" s="16" t="str">
        <f>IF(AND(AD$10&gt;=$D15,AD$11&lt;=$E15),VLOOKUP($F15,$K$2:AR$8,AD$1,"Falsch"),"")</f>
        <v/>
      </c>
      <c r="AF15" s="37">
        <f t="shared" si="10"/>
        <v>0</v>
      </c>
      <c r="AG15" s="35"/>
      <c r="AH15" s="33">
        <f t="shared" si="11"/>
        <v>0</v>
      </c>
      <c r="AI15" s="1" t="str">
        <f t="shared" si="12"/>
        <v/>
      </c>
      <c r="AJ15" s="1" t="str">
        <f t="shared" si="13"/>
        <v/>
      </c>
      <c r="AK15" s="1" t="str">
        <f t="shared" si="14"/>
        <v/>
      </c>
      <c r="AL15" s="1" t="str">
        <f t="shared" si="15"/>
        <v/>
      </c>
      <c r="AM15" s="1" t="str">
        <f t="shared" si="16"/>
        <v/>
      </c>
      <c r="AN15" s="1" t="str">
        <f t="shared" si="17"/>
        <v/>
      </c>
      <c r="AO15" s="1" t="str">
        <f t="shared" si="18"/>
        <v/>
      </c>
      <c r="AP15" s="1" t="str">
        <f t="shared" si="19"/>
        <v/>
      </c>
      <c r="AQ15" s="1" t="str">
        <f t="shared" si="20"/>
        <v/>
      </c>
      <c r="AR15" s="1" t="str">
        <f t="shared" si="21"/>
        <v/>
      </c>
      <c r="AS15" s="1" t="str">
        <f t="shared" si="22"/>
        <v/>
      </c>
      <c r="AT15" s="1" t="str">
        <f t="shared" si="23"/>
        <v/>
      </c>
      <c r="AU15" s="1" t="str">
        <f t="shared" si="24"/>
        <v/>
      </c>
      <c r="AV15" s="1" t="str">
        <f t="shared" si="25"/>
        <v/>
      </c>
      <c r="AW15" s="1" t="str">
        <f t="shared" si="26"/>
        <v/>
      </c>
      <c r="AX15" s="1" t="str">
        <f t="shared" si="27"/>
        <v/>
      </c>
      <c r="AY15" s="1" t="str">
        <f t="shared" si="28"/>
        <v/>
      </c>
      <c r="AZ15" s="1" t="str">
        <f t="shared" si="29"/>
        <v/>
      </c>
      <c r="BA15" s="1" t="str">
        <f t="shared" si="30"/>
        <v/>
      </c>
    </row>
    <row r="16" spans="1:125" s="1" customFormat="1" x14ac:dyDescent="0.25">
      <c r="A16" s="27"/>
      <c r="B16" s="8"/>
      <c r="C16"/>
      <c r="D16" s="31"/>
      <c r="E16" s="31"/>
      <c r="F16" s="26"/>
      <c r="G16" s="26"/>
      <c r="H16" s="26"/>
      <c r="I16" s="21">
        <f t="shared" si="8"/>
        <v>0</v>
      </c>
      <c r="J16" s="4"/>
      <c r="K16" s="25">
        <f t="shared" si="9"/>
        <v>0</v>
      </c>
      <c r="L16" s="16" t="str">
        <f>IF(AND(L$10&gt;=$D16,L$11&lt;=$E16),VLOOKUP($F16,$K$2:Z$8,L$1,"Falsch"),"")</f>
        <v/>
      </c>
      <c r="M16" s="16" t="str">
        <f>IF(AND(M$10&gt;=$D16,M$11&lt;=$E16),VLOOKUP($F16,$K$2:AA$8,M$1,"Falsch"),"")</f>
        <v/>
      </c>
      <c r="N16" s="16" t="str">
        <f>IF(AND(N$10&gt;=$D16,N$11&lt;=$E16),VLOOKUP($F16,$K$2:AB$8,N$1,"Falsch"),"")</f>
        <v/>
      </c>
      <c r="O16" s="16" t="str">
        <f>IF(AND(O$10&gt;=$D16,O$11&lt;=$E16),VLOOKUP($F16,$K$2:AC$8,O$1,"Falsch"),"")</f>
        <v/>
      </c>
      <c r="P16" s="16" t="str">
        <f>IF(AND(P$10&gt;=$D16,P$11&lt;=$E16),VLOOKUP($F16,$K$2:AD$8,P$1,"Falsch"),"")</f>
        <v/>
      </c>
      <c r="Q16" s="16" t="str">
        <f>IF(AND(Q$10&gt;=$D16,Q$11&lt;=$E16),VLOOKUP($F16,$K$2:AE$8,Q$1,"Falsch"),"")</f>
        <v/>
      </c>
      <c r="R16" s="16" t="str">
        <f>IF(AND(R$10&gt;=$D16,R$11&lt;=$E16),VLOOKUP($F16,$K$2:AF$8,R$1,"Falsch"),"")</f>
        <v/>
      </c>
      <c r="S16" s="16" t="str">
        <f>IF(AND(S$10&gt;=$D16,S$11&lt;=$E16),VLOOKUP($F16,$K$2:AG$8,S$1,"Falsch"),"")</f>
        <v/>
      </c>
      <c r="T16" s="16" t="str">
        <f>IF(AND(T$10&gt;=$D16,T$11&lt;=$E16),VLOOKUP($F16,$K$2:AH$8,T$1,"Falsch"),"")</f>
        <v/>
      </c>
      <c r="U16" s="16" t="str">
        <f>IF(AND(U$10&gt;=$D16,U$11&lt;=$E16),VLOOKUP($F16,$K$2:AI$8,U$1,"Falsch"),"")</f>
        <v/>
      </c>
      <c r="V16" s="16" t="str">
        <f>IF(AND(V$10&gt;=$D16,V$11&lt;=$E16),VLOOKUP($F16,$K$2:AJ$8,V$1,"Falsch"),"")</f>
        <v/>
      </c>
      <c r="W16" s="16" t="str">
        <f>IF(AND(W$10&gt;=$D16,W$11&lt;=$E16),VLOOKUP($F16,$K$2:AK$8,W$1,"Falsch"),"")</f>
        <v/>
      </c>
      <c r="X16" s="16" t="str">
        <f>IF(AND(X$10&gt;=$D16,X$11&lt;=$E16),VLOOKUP($F16,$K$2:AL$8,X$1,"Falsch"),"")</f>
        <v/>
      </c>
      <c r="Y16" s="16" t="str">
        <f>IF(AND(Y$10&gt;=$D16,Y$11&lt;=$E16),VLOOKUP($F16,$K$2:AM$8,Y$1,"Falsch"),"")</f>
        <v/>
      </c>
      <c r="Z16" s="16" t="str">
        <f>IF(AND(Z$10&gt;=$D16,Z$11&lt;=$E16),VLOOKUP($F16,$K$2:AN$8,Z$1,"Falsch"),"")</f>
        <v/>
      </c>
      <c r="AA16" s="16" t="str">
        <f>IF(AND(AA$10&gt;=$D16,AA$11&lt;=$E16),VLOOKUP($F16,$K$2:AO$8,AA$1,"Falsch"),"")</f>
        <v/>
      </c>
      <c r="AB16" s="16" t="str">
        <f>IF(AND(AB$10&gt;=$D16,AB$11&lt;=$E16),VLOOKUP($F16,$K$2:AP$8,AB$1,"Falsch"),"")</f>
        <v/>
      </c>
      <c r="AC16" s="16" t="str">
        <f>IF(AND(AC$10&gt;=$D16,AC$11&lt;=$E16),VLOOKUP($F16,$K$2:AQ$8,AC$1,"Falsch"),"")</f>
        <v/>
      </c>
      <c r="AD16" s="16" t="str">
        <f>IF(AND(AD$10&gt;=$D16,AD$11&lt;=$E16),VLOOKUP($F16,$K$2:AR$8,AD$1,"Falsch"),"")</f>
        <v/>
      </c>
      <c r="AF16" s="37">
        <f t="shared" si="10"/>
        <v>0</v>
      </c>
      <c r="AG16" s="35"/>
      <c r="AH16" s="33">
        <f t="shared" si="11"/>
        <v>0</v>
      </c>
      <c r="AI16" s="1" t="str">
        <f t="shared" si="12"/>
        <v/>
      </c>
      <c r="AJ16" s="1" t="str">
        <f t="shared" si="13"/>
        <v/>
      </c>
      <c r="AK16" s="1" t="str">
        <f t="shared" si="14"/>
        <v/>
      </c>
      <c r="AL16" s="1" t="str">
        <f t="shared" si="15"/>
        <v/>
      </c>
      <c r="AM16" s="1" t="str">
        <f t="shared" si="16"/>
        <v/>
      </c>
      <c r="AN16" s="1" t="str">
        <f t="shared" si="17"/>
        <v/>
      </c>
      <c r="AO16" s="1" t="str">
        <f t="shared" si="18"/>
        <v/>
      </c>
      <c r="AP16" s="1" t="str">
        <f t="shared" si="19"/>
        <v/>
      </c>
      <c r="AQ16" s="1" t="str">
        <f t="shared" si="20"/>
        <v/>
      </c>
      <c r="AR16" s="1" t="str">
        <f t="shared" si="21"/>
        <v/>
      </c>
      <c r="AS16" s="1" t="str">
        <f t="shared" si="22"/>
        <v/>
      </c>
      <c r="AT16" s="1" t="str">
        <f t="shared" si="23"/>
        <v/>
      </c>
      <c r="AU16" s="1" t="str">
        <f t="shared" si="24"/>
        <v/>
      </c>
      <c r="AV16" s="1" t="str">
        <f t="shared" si="25"/>
        <v/>
      </c>
      <c r="AW16" s="1" t="str">
        <f t="shared" si="26"/>
        <v/>
      </c>
      <c r="AX16" s="1" t="str">
        <f t="shared" si="27"/>
        <v/>
      </c>
      <c r="AY16" s="1" t="str">
        <f t="shared" si="28"/>
        <v/>
      </c>
      <c r="AZ16" s="1" t="str">
        <f t="shared" si="29"/>
        <v/>
      </c>
      <c r="BA16" s="1" t="str">
        <f t="shared" si="30"/>
        <v/>
      </c>
    </row>
    <row r="17" spans="1:53" s="1" customFormat="1" x14ac:dyDescent="0.25">
      <c r="A17" s="27"/>
      <c r="B17" s="8"/>
      <c r="C17"/>
      <c r="D17" s="31"/>
      <c r="E17" s="31"/>
      <c r="F17" s="26"/>
      <c r="G17" s="26"/>
      <c r="H17" s="26"/>
      <c r="I17" s="21">
        <f t="shared" si="8"/>
        <v>0</v>
      </c>
      <c r="J17" s="4"/>
      <c r="K17" s="25">
        <f t="shared" si="9"/>
        <v>0</v>
      </c>
      <c r="L17" s="16" t="str">
        <f>IF(AND(L$10&gt;=$D17,L$11&lt;=$E17),VLOOKUP($F17,$K$2:Z$8,L$1,"Falsch"),"")</f>
        <v/>
      </c>
      <c r="M17" s="16" t="str">
        <f>IF(AND(M$10&gt;=$D17,M$11&lt;=$E17),VLOOKUP($F17,$K$2:AA$8,M$1,"Falsch"),"")</f>
        <v/>
      </c>
      <c r="N17" s="16" t="str">
        <f>IF(AND(N$10&gt;=$D17,N$11&lt;=$E17),VLOOKUP($F17,$K$2:AB$8,N$1,"Falsch"),"")</f>
        <v/>
      </c>
      <c r="O17" s="16" t="str">
        <f>IF(AND(O$10&gt;=$D17,O$11&lt;=$E17),VLOOKUP($F17,$K$2:AC$8,O$1,"Falsch"),"")</f>
        <v/>
      </c>
      <c r="P17" s="16" t="str">
        <f>IF(AND(P$10&gt;=$D17,P$11&lt;=$E17),VLOOKUP($F17,$K$2:AD$8,P$1,"Falsch"),"")</f>
        <v/>
      </c>
      <c r="Q17" s="16" t="str">
        <f>IF(AND(Q$10&gt;=$D17,Q$11&lt;=$E17),VLOOKUP($F17,$K$2:AE$8,Q$1,"Falsch"),"")</f>
        <v/>
      </c>
      <c r="R17" s="16" t="str">
        <f>IF(AND(R$10&gt;=$D17,R$11&lt;=$E17),VLOOKUP($F17,$K$2:AF$8,R$1,"Falsch"),"")</f>
        <v/>
      </c>
      <c r="S17" s="16" t="str">
        <f>IF(AND(S$10&gt;=$D17,S$11&lt;=$E17),VLOOKUP($F17,$K$2:AG$8,S$1,"Falsch"),"")</f>
        <v/>
      </c>
      <c r="T17" s="16" t="str">
        <f>IF(AND(T$10&gt;=$D17,T$11&lt;=$E17),VLOOKUP($F17,$K$2:AH$8,T$1,"Falsch"),"")</f>
        <v/>
      </c>
      <c r="U17" s="16" t="str">
        <f>IF(AND(U$10&gt;=$D17,U$11&lt;=$E17),VLOOKUP($F17,$K$2:AI$8,U$1,"Falsch"),"")</f>
        <v/>
      </c>
      <c r="V17" s="16" t="str">
        <f>IF(AND(V$10&gt;=$D17,V$11&lt;=$E17),VLOOKUP($F17,$K$2:AJ$8,V$1,"Falsch"),"")</f>
        <v/>
      </c>
      <c r="W17" s="16" t="str">
        <f>IF(AND(W$10&gt;=$D17,W$11&lt;=$E17),VLOOKUP($F17,$K$2:AK$8,W$1,"Falsch"),"")</f>
        <v/>
      </c>
      <c r="X17" s="16" t="str">
        <f>IF(AND(X$10&gt;=$D17,X$11&lt;=$E17),VLOOKUP($F17,$K$2:AL$8,X$1,"Falsch"),"")</f>
        <v/>
      </c>
      <c r="Y17" s="16" t="str">
        <f>IF(AND(Y$10&gt;=$D17,Y$11&lt;=$E17),VLOOKUP($F17,$K$2:AM$8,Y$1,"Falsch"),"")</f>
        <v/>
      </c>
      <c r="Z17" s="16" t="str">
        <f>IF(AND(Z$10&gt;=$D17,Z$11&lt;=$E17),VLOOKUP($F17,$K$2:AN$8,Z$1,"Falsch"),"")</f>
        <v/>
      </c>
      <c r="AA17" s="16" t="str">
        <f>IF(AND(AA$10&gt;=$D17,AA$11&lt;=$E17),VLOOKUP($F17,$K$2:AO$8,AA$1,"Falsch"),"")</f>
        <v/>
      </c>
      <c r="AB17" s="16" t="str">
        <f>IF(AND(AB$10&gt;=$D17,AB$11&lt;=$E17),VLOOKUP($F17,$K$2:AP$8,AB$1,"Falsch"),"")</f>
        <v/>
      </c>
      <c r="AC17" s="16" t="str">
        <f>IF(AND(AC$10&gt;=$D17,AC$11&lt;=$E17),VLOOKUP($F17,$K$2:AQ$8,AC$1,"Falsch"),"")</f>
        <v/>
      </c>
      <c r="AD17" s="16" t="str">
        <f>IF(AND(AD$10&gt;=$D17,AD$11&lt;=$E17),VLOOKUP($F17,$K$2:AR$8,AD$1,"Falsch"),"")</f>
        <v/>
      </c>
      <c r="AF17" s="37">
        <f t="shared" si="10"/>
        <v>0</v>
      </c>
      <c r="AG17" s="35"/>
      <c r="AH17" s="33">
        <f t="shared" si="11"/>
        <v>0</v>
      </c>
      <c r="AI17" s="1" t="str">
        <f t="shared" si="12"/>
        <v/>
      </c>
      <c r="AJ17" s="1" t="str">
        <f t="shared" si="13"/>
        <v/>
      </c>
      <c r="AK17" s="1" t="str">
        <f t="shared" si="14"/>
        <v/>
      </c>
      <c r="AL17" s="1" t="str">
        <f t="shared" si="15"/>
        <v/>
      </c>
      <c r="AM17" s="1" t="str">
        <f t="shared" si="16"/>
        <v/>
      </c>
      <c r="AN17" s="1" t="str">
        <f t="shared" si="17"/>
        <v/>
      </c>
      <c r="AO17" s="1" t="str">
        <f t="shared" si="18"/>
        <v/>
      </c>
      <c r="AP17" s="1" t="str">
        <f t="shared" si="19"/>
        <v/>
      </c>
      <c r="AQ17" s="1" t="str">
        <f t="shared" si="20"/>
        <v/>
      </c>
      <c r="AR17" s="1" t="str">
        <f t="shared" si="21"/>
        <v/>
      </c>
      <c r="AS17" s="1" t="str">
        <f t="shared" si="22"/>
        <v/>
      </c>
      <c r="AT17" s="1" t="str">
        <f t="shared" si="23"/>
        <v/>
      </c>
      <c r="AU17" s="1" t="str">
        <f t="shared" si="24"/>
        <v/>
      </c>
      <c r="AV17" s="1" t="str">
        <f t="shared" si="25"/>
        <v/>
      </c>
      <c r="AW17" s="1" t="str">
        <f t="shared" si="26"/>
        <v/>
      </c>
      <c r="AX17" s="1" t="str">
        <f t="shared" si="27"/>
        <v/>
      </c>
      <c r="AY17" s="1" t="str">
        <f t="shared" si="28"/>
        <v/>
      </c>
      <c r="AZ17" s="1" t="str">
        <f t="shared" si="29"/>
        <v/>
      </c>
      <c r="BA17" s="1" t="str">
        <f t="shared" si="30"/>
        <v/>
      </c>
    </row>
    <row r="18" spans="1:53" x14ac:dyDescent="0.25">
      <c r="I18" s="21">
        <f t="shared" si="8"/>
        <v>0</v>
      </c>
      <c r="K18" s="25">
        <f t="shared" si="9"/>
        <v>0</v>
      </c>
      <c r="L18" s="16" t="str">
        <f>IF(AND(L$10&gt;=$D18,L$11&lt;=$E18),VLOOKUP($F18,$K$2:Z$8,L$1,"Falsch"),"")</f>
        <v/>
      </c>
      <c r="M18" s="16" t="str">
        <f>IF(AND(M$10&gt;=$D18,M$11&lt;=$E18),VLOOKUP($F18,$K$2:AA$8,M$1,"Falsch"),"")</f>
        <v/>
      </c>
      <c r="N18" s="16" t="str">
        <f>IF(AND(N$10&gt;=$D18,N$11&lt;=$E18),VLOOKUP($F18,$K$2:AB$8,N$1,"Falsch"),"")</f>
        <v/>
      </c>
      <c r="O18" s="16" t="str">
        <f>IF(AND(O$10&gt;=$D18,O$11&lt;=$E18),VLOOKUP($F18,$K$2:AC$8,O$1,"Falsch"),"")</f>
        <v/>
      </c>
      <c r="P18" s="16" t="str">
        <f>IF(AND(P$10&gt;=$D18,P$11&lt;=$E18),VLOOKUP($F18,$K$2:AD$8,P$1,"Falsch"),"")</f>
        <v/>
      </c>
      <c r="Q18" s="16" t="str">
        <f>IF(AND(Q$10&gt;=$D18,Q$11&lt;=$E18),VLOOKUP($F18,$K$2:AE$8,Q$1,"Falsch"),"")</f>
        <v/>
      </c>
      <c r="R18" s="16" t="str">
        <f>IF(AND(R$10&gt;=$D18,R$11&lt;=$E18),VLOOKUP($F18,$K$2:AF$8,R$1,"Falsch"),"")</f>
        <v/>
      </c>
      <c r="S18" s="16" t="str">
        <f>IF(AND(S$10&gt;=$D18,S$11&lt;=$E18),VLOOKUP($F18,$K$2:AG$8,S$1,"Falsch"),"")</f>
        <v/>
      </c>
      <c r="T18" s="16" t="str">
        <f>IF(AND(T$10&gt;=$D18,T$11&lt;=$E18),VLOOKUP($F18,$K$2:AH$8,T$1,"Falsch"),"")</f>
        <v/>
      </c>
      <c r="U18" s="16" t="str">
        <f>IF(AND(U$10&gt;=$D18,U$11&lt;=$E18),VLOOKUP($F18,$K$2:AI$8,U$1,"Falsch"),"")</f>
        <v/>
      </c>
      <c r="V18" s="16" t="str">
        <f>IF(AND(V$10&gt;=$D18,V$11&lt;=$E18),VLOOKUP($F18,$K$2:AJ$8,V$1,"Falsch"),"")</f>
        <v/>
      </c>
      <c r="W18" s="16" t="str">
        <f>IF(AND(W$10&gt;=$D18,W$11&lt;=$E18),VLOOKUP($F18,$K$2:AK$8,W$1,"Falsch"),"")</f>
        <v/>
      </c>
      <c r="X18" s="16" t="str">
        <f>IF(AND(X$10&gt;=$D18,X$11&lt;=$E18),VLOOKUP($F18,$K$2:AL$8,X$1,"Falsch"),"")</f>
        <v/>
      </c>
      <c r="Y18" s="16" t="str">
        <f>IF(AND(Y$10&gt;=$D18,Y$11&lt;=$E18),VLOOKUP($F18,$K$2:AM$8,Y$1,"Falsch"),"")</f>
        <v/>
      </c>
      <c r="Z18" s="16" t="str">
        <f>IF(AND(Z$10&gt;=$D18,Z$11&lt;=$E18),VLOOKUP($F18,$K$2:AN$8,Z$1,"Falsch"),"")</f>
        <v/>
      </c>
      <c r="AA18" s="16" t="str">
        <f>IF(AND(AA$10&gt;=$D18,AA$11&lt;=$E18),VLOOKUP($F18,$K$2:AO$8,AA$1,"Falsch"),"")</f>
        <v/>
      </c>
      <c r="AB18" s="16" t="str">
        <f>IF(AND(AB$10&gt;=$D18,AB$11&lt;=$E18),VLOOKUP($F18,$K$2:AP$8,AB$1,"Falsch"),"")</f>
        <v/>
      </c>
      <c r="AC18" s="16" t="str">
        <f>IF(AND(AC$10&gt;=$D18,AC$11&lt;=$E18),VLOOKUP($F18,$K$2:AQ$8,AC$1,"Falsch"),"")</f>
        <v/>
      </c>
      <c r="AD18" s="16" t="str">
        <f>IF(AND(AD$10&gt;=$D18,AD$11&lt;=$E18),VLOOKUP($F18,$K$2:AR$8,AD$1,"Falsch"),"")</f>
        <v/>
      </c>
      <c r="AF18" s="37">
        <f t="shared" si="10"/>
        <v>0</v>
      </c>
      <c r="AG18" s="36"/>
      <c r="AH18" s="33">
        <f t="shared" si="11"/>
        <v>0</v>
      </c>
      <c r="AI18" s="1" t="str">
        <f t="shared" si="12"/>
        <v/>
      </c>
      <c r="AJ18" s="1" t="str">
        <f t="shared" si="13"/>
        <v/>
      </c>
      <c r="AK18" s="1" t="str">
        <f t="shared" si="14"/>
        <v/>
      </c>
      <c r="AL18" s="1" t="str">
        <f t="shared" si="15"/>
        <v/>
      </c>
      <c r="AM18" s="1" t="str">
        <f t="shared" si="16"/>
        <v/>
      </c>
      <c r="AN18" s="1" t="str">
        <f t="shared" si="17"/>
        <v/>
      </c>
      <c r="AO18" s="1" t="str">
        <f t="shared" si="18"/>
        <v/>
      </c>
      <c r="AP18" s="1" t="str">
        <f t="shared" si="19"/>
        <v/>
      </c>
      <c r="AQ18" s="1" t="str">
        <f t="shared" si="20"/>
        <v/>
      </c>
      <c r="AR18" s="1" t="str">
        <f t="shared" si="21"/>
        <v/>
      </c>
      <c r="AS18" s="1" t="str">
        <f t="shared" si="22"/>
        <v/>
      </c>
      <c r="AT18" s="1" t="str">
        <f t="shared" si="23"/>
        <v/>
      </c>
      <c r="AU18" s="1" t="str">
        <f t="shared" si="24"/>
        <v/>
      </c>
      <c r="AV18" s="1" t="str">
        <f t="shared" si="25"/>
        <v/>
      </c>
      <c r="AW18" s="1" t="str">
        <f t="shared" si="26"/>
        <v/>
      </c>
      <c r="AX18" s="1" t="str">
        <f t="shared" si="27"/>
        <v/>
      </c>
      <c r="AY18" s="1" t="str">
        <f t="shared" si="28"/>
        <v/>
      </c>
      <c r="AZ18" s="1" t="str">
        <f t="shared" si="29"/>
        <v/>
      </c>
      <c r="BA18" s="1" t="str">
        <f t="shared" si="30"/>
        <v/>
      </c>
    </row>
    <row r="19" spans="1:53" x14ac:dyDescent="0.25">
      <c r="I19" s="21">
        <f t="shared" si="8"/>
        <v>0</v>
      </c>
      <c r="K19" s="25">
        <f t="shared" si="9"/>
        <v>0</v>
      </c>
      <c r="L19" s="16" t="str">
        <f>IF(AND(L$10&gt;=$D19,L$11&lt;=$E19),VLOOKUP($F19,$K$2:Z$8,L$1,"Falsch"),"")</f>
        <v/>
      </c>
      <c r="M19" s="16" t="str">
        <f>IF(AND(M$10&gt;=$D19,M$11&lt;=$E19),VLOOKUP($F19,$K$2:AA$8,M$1,"Falsch"),"")</f>
        <v/>
      </c>
      <c r="N19" s="16" t="str">
        <f>IF(AND(N$10&gt;=$D19,N$11&lt;=$E19),VLOOKUP($F19,$K$2:AB$8,N$1,"Falsch"),"")</f>
        <v/>
      </c>
      <c r="O19" s="16" t="str">
        <f>IF(AND(O$10&gt;=$D19,O$11&lt;=$E19),VLOOKUP($F19,$K$2:AC$8,O$1,"Falsch"),"")</f>
        <v/>
      </c>
      <c r="P19" s="16" t="str">
        <f>IF(AND(P$10&gt;=$D19,P$11&lt;=$E19),VLOOKUP($F19,$K$2:AD$8,P$1,"Falsch"),"")</f>
        <v/>
      </c>
      <c r="Q19" s="16" t="str">
        <f>IF(AND(Q$10&gt;=$D19,Q$11&lt;=$E19),VLOOKUP($F19,$K$2:AE$8,Q$1,"Falsch"),"")</f>
        <v/>
      </c>
      <c r="R19" s="16" t="str">
        <f>IF(AND(R$10&gt;=$D19,R$11&lt;=$E19),VLOOKUP($F19,$K$2:AF$8,R$1,"Falsch"),"")</f>
        <v/>
      </c>
      <c r="S19" s="16" t="str">
        <f>IF(AND(S$10&gt;=$D19,S$11&lt;=$E19),VLOOKUP($F19,$K$2:AG$8,S$1,"Falsch"),"")</f>
        <v/>
      </c>
      <c r="T19" s="16" t="str">
        <f>IF(AND(T$10&gt;=$D19,T$11&lt;=$E19),VLOOKUP($F19,$K$2:AH$8,T$1,"Falsch"),"")</f>
        <v/>
      </c>
      <c r="U19" s="16" t="str">
        <f>IF(AND(U$10&gt;=$D19,U$11&lt;=$E19),VLOOKUP($F19,$K$2:AI$8,U$1,"Falsch"),"")</f>
        <v/>
      </c>
      <c r="V19" s="16" t="str">
        <f>IF(AND(V$10&gt;=$D19,V$11&lt;=$E19),VLOOKUP($F19,$K$2:AJ$8,V$1,"Falsch"),"")</f>
        <v/>
      </c>
      <c r="W19" s="16" t="str">
        <f>IF(AND(W$10&gt;=$D19,W$11&lt;=$E19),VLOOKUP($F19,$K$2:AK$8,W$1,"Falsch"),"")</f>
        <v/>
      </c>
      <c r="X19" s="16" t="str">
        <f>IF(AND(X$10&gt;=$D19,X$11&lt;=$E19),VLOOKUP($F19,$K$2:AL$8,X$1,"Falsch"),"")</f>
        <v/>
      </c>
      <c r="Y19" s="16" t="str">
        <f>IF(AND(Y$10&gt;=$D19,Y$11&lt;=$E19),VLOOKUP($F19,$K$2:AM$8,Y$1,"Falsch"),"")</f>
        <v/>
      </c>
      <c r="Z19" s="16" t="str">
        <f>IF(AND(Z$10&gt;=$D19,Z$11&lt;=$E19),VLOOKUP($F19,$K$2:AN$8,Z$1,"Falsch"),"")</f>
        <v/>
      </c>
      <c r="AA19" s="16" t="str">
        <f>IF(AND(AA$10&gt;=$D19,AA$11&lt;=$E19),VLOOKUP($F19,$K$2:AO$8,AA$1,"Falsch"),"")</f>
        <v/>
      </c>
      <c r="AB19" s="16" t="str">
        <f>IF(AND(AB$10&gt;=$D19,AB$11&lt;=$E19),VLOOKUP($F19,$K$2:AP$8,AB$1,"Falsch"),"")</f>
        <v/>
      </c>
      <c r="AC19" s="16" t="str">
        <f>IF(AND(AC$10&gt;=$D19,AC$11&lt;=$E19),VLOOKUP($F19,$K$2:AQ$8,AC$1,"Falsch"),"")</f>
        <v/>
      </c>
      <c r="AD19" s="16" t="str">
        <f>IF(AND(AD$10&gt;=$D19,AD$11&lt;=$E19),VLOOKUP($F19,$K$2:AR$8,AD$1,"Falsch"),"")</f>
        <v/>
      </c>
      <c r="AF19" s="37">
        <f t="shared" si="10"/>
        <v>0</v>
      </c>
      <c r="AG19" s="36"/>
      <c r="AH19" s="33">
        <f t="shared" si="11"/>
        <v>0</v>
      </c>
      <c r="AI19" s="1" t="str">
        <f t="shared" si="12"/>
        <v/>
      </c>
      <c r="AJ19" s="1" t="str">
        <f t="shared" si="13"/>
        <v/>
      </c>
      <c r="AK19" s="1" t="str">
        <f t="shared" si="14"/>
        <v/>
      </c>
      <c r="AL19" s="1" t="str">
        <f t="shared" si="15"/>
        <v/>
      </c>
      <c r="AM19" s="1" t="str">
        <f t="shared" si="16"/>
        <v/>
      </c>
      <c r="AN19" s="1" t="str">
        <f t="shared" si="17"/>
        <v/>
      </c>
      <c r="AO19" s="1" t="str">
        <f t="shared" si="18"/>
        <v/>
      </c>
      <c r="AP19" s="1" t="str">
        <f t="shared" si="19"/>
        <v/>
      </c>
      <c r="AQ19" s="1" t="str">
        <f t="shared" si="20"/>
        <v/>
      </c>
      <c r="AR19" s="1" t="str">
        <f t="shared" si="21"/>
        <v/>
      </c>
      <c r="AS19" s="1" t="str">
        <f t="shared" si="22"/>
        <v/>
      </c>
      <c r="AT19" s="1" t="str">
        <f t="shared" si="23"/>
        <v/>
      </c>
      <c r="AU19" s="1" t="str">
        <f t="shared" si="24"/>
        <v/>
      </c>
      <c r="AV19" s="1" t="str">
        <f t="shared" si="25"/>
        <v/>
      </c>
      <c r="AW19" s="1" t="str">
        <f t="shared" si="26"/>
        <v/>
      </c>
      <c r="AX19" s="1" t="str">
        <f t="shared" si="27"/>
        <v/>
      </c>
      <c r="AY19" s="1" t="str">
        <f t="shared" si="28"/>
        <v/>
      </c>
      <c r="AZ19" s="1" t="str">
        <f t="shared" si="29"/>
        <v/>
      </c>
      <c r="BA19" s="1" t="str">
        <f t="shared" si="30"/>
        <v/>
      </c>
    </row>
    <row r="20" spans="1:53" x14ac:dyDescent="0.25">
      <c r="I20" s="21">
        <f t="shared" si="8"/>
        <v>0</v>
      </c>
      <c r="K20" s="25">
        <f t="shared" si="9"/>
        <v>0</v>
      </c>
      <c r="L20" s="16" t="str">
        <f>IF(AND(L$10&gt;=$D20,L$11&lt;=$E20),VLOOKUP($F20,$K$2:Z$8,L$1,"Falsch"),"")</f>
        <v/>
      </c>
      <c r="M20" s="16" t="str">
        <f>IF(AND(M$10&gt;=$D20,M$11&lt;=$E20),VLOOKUP($F20,$K$2:AA$8,M$1,"Falsch"),"")</f>
        <v/>
      </c>
      <c r="N20" s="16" t="str">
        <f>IF(AND(N$10&gt;=$D20,N$11&lt;=$E20),VLOOKUP($F20,$K$2:AB$8,N$1,"Falsch"),"")</f>
        <v/>
      </c>
      <c r="O20" s="16" t="str">
        <f>IF(AND(O$10&gt;=$D20,O$11&lt;=$E20),VLOOKUP($F20,$K$2:AC$8,O$1,"Falsch"),"")</f>
        <v/>
      </c>
      <c r="P20" s="16" t="str">
        <f>IF(AND(P$10&gt;=$D20,P$11&lt;=$E20),VLOOKUP($F20,$K$2:AD$8,P$1,"Falsch"),"")</f>
        <v/>
      </c>
      <c r="Q20" s="16" t="str">
        <f>IF(AND(Q$10&gt;=$D20,Q$11&lt;=$E20),VLOOKUP($F20,$K$2:AE$8,Q$1,"Falsch"),"")</f>
        <v/>
      </c>
      <c r="R20" s="16" t="str">
        <f>IF(AND(R$10&gt;=$D20,R$11&lt;=$E20),VLOOKUP($F20,$K$2:AF$8,R$1,"Falsch"),"")</f>
        <v/>
      </c>
      <c r="S20" s="16" t="str">
        <f>IF(AND(S$10&gt;=$D20,S$11&lt;=$E20),VLOOKUP($F20,$K$2:AG$8,S$1,"Falsch"),"")</f>
        <v/>
      </c>
      <c r="T20" s="16" t="str">
        <f>IF(AND(T$10&gt;=$D20,T$11&lt;=$E20),VLOOKUP($F20,$K$2:AH$8,T$1,"Falsch"),"")</f>
        <v/>
      </c>
      <c r="U20" s="16" t="str">
        <f>IF(AND(U$10&gt;=$D20,U$11&lt;=$E20),VLOOKUP($F20,$K$2:AI$8,U$1,"Falsch"),"")</f>
        <v/>
      </c>
      <c r="V20" s="16" t="str">
        <f>IF(AND(V$10&gt;=$D20,V$11&lt;=$E20),VLOOKUP($F20,$K$2:AJ$8,V$1,"Falsch"),"")</f>
        <v/>
      </c>
      <c r="W20" s="16" t="str">
        <f>IF(AND(W$10&gt;=$D20,W$11&lt;=$E20),VLOOKUP($F20,$K$2:AK$8,W$1,"Falsch"),"")</f>
        <v/>
      </c>
      <c r="X20" s="16" t="str">
        <f>IF(AND(X$10&gt;=$D20,X$11&lt;=$E20),VLOOKUP($F20,$K$2:AL$8,X$1,"Falsch"),"")</f>
        <v/>
      </c>
      <c r="Y20" s="16" t="str">
        <f>IF(AND(Y$10&gt;=$D20,Y$11&lt;=$E20),VLOOKUP($F20,$K$2:AM$8,Y$1,"Falsch"),"")</f>
        <v/>
      </c>
      <c r="Z20" s="16" t="str">
        <f>IF(AND(Z$10&gt;=$D20,Z$11&lt;=$E20),VLOOKUP($F20,$K$2:AN$8,Z$1,"Falsch"),"")</f>
        <v/>
      </c>
      <c r="AA20" s="16" t="str">
        <f>IF(AND(AA$10&gt;=$D20,AA$11&lt;=$E20),VLOOKUP($F20,$K$2:AO$8,AA$1,"Falsch"),"")</f>
        <v/>
      </c>
      <c r="AB20" s="16" t="str">
        <f>IF(AND(AB$10&gt;=$D20,AB$11&lt;=$E20),VLOOKUP($F20,$K$2:AP$8,AB$1,"Falsch"),"")</f>
        <v/>
      </c>
      <c r="AC20" s="16" t="str">
        <f>IF(AND(AC$10&gt;=$D20,AC$11&lt;=$E20),VLOOKUP($F20,$K$2:AQ$8,AC$1,"Falsch"),"")</f>
        <v/>
      </c>
      <c r="AD20" s="16" t="str">
        <f>IF(AND(AD$10&gt;=$D20,AD$11&lt;=$E20),VLOOKUP($F20,$K$2:AR$8,AD$1,"Falsch"),"")</f>
        <v/>
      </c>
      <c r="AF20" s="37">
        <f t="shared" si="10"/>
        <v>0</v>
      </c>
      <c r="AG20" s="36"/>
      <c r="AH20" s="33">
        <f t="shared" si="11"/>
        <v>0</v>
      </c>
      <c r="AI20" s="1" t="str">
        <f t="shared" si="12"/>
        <v/>
      </c>
      <c r="AJ20" s="1" t="str">
        <f t="shared" si="13"/>
        <v/>
      </c>
      <c r="AK20" s="1" t="str">
        <f t="shared" si="14"/>
        <v/>
      </c>
      <c r="AL20" s="1" t="str">
        <f t="shared" si="15"/>
        <v/>
      </c>
      <c r="AM20" s="1" t="str">
        <f t="shared" si="16"/>
        <v/>
      </c>
      <c r="AN20" s="1" t="str">
        <f t="shared" si="17"/>
        <v/>
      </c>
      <c r="AO20" s="1" t="str">
        <f t="shared" si="18"/>
        <v/>
      </c>
      <c r="AP20" s="1" t="str">
        <f t="shared" si="19"/>
        <v/>
      </c>
      <c r="AQ20" s="1" t="str">
        <f t="shared" si="20"/>
        <v/>
      </c>
      <c r="AR20" s="1" t="str">
        <f t="shared" si="21"/>
        <v/>
      </c>
      <c r="AS20" s="1" t="str">
        <f t="shared" si="22"/>
        <v/>
      </c>
      <c r="AT20" s="1" t="str">
        <f t="shared" si="23"/>
        <v/>
      </c>
      <c r="AU20" s="1" t="str">
        <f t="shared" si="24"/>
        <v/>
      </c>
      <c r="AV20" s="1" t="str">
        <f t="shared" si="25"/>
        <v/>
      </c>
      <c r="AW20" s="1" t="str">
        <f t="shared" si="26"/>
        <v/>
      </c>
      <c r="AX20" s="1" t="str">
        <f t="shared" si="27"/>
        <v/>
      </c>
      <c r="AY20" s="1" t="str">
        <f t="shared" si="28"/>
        <v/>
      </c>
      <c r="AZ20" s="1" t="str">
        <f t="shared" si="29"/>
        <v/>
      </c>
      <c r="BA20" s="1" t="str">
        <f t="shared" si="30"/>
        <v/>
      </c>
    </row>
    <row r="21" spans="1:53" x14ac:dyDescent="0.25">
      <c r="I21" s="21">
        <f t="shared" si="8"/>
        <v>0</v>
      </c>
      <c r="K21" s="25">
        <f t="shared" si="9"/>
        <v>0</v>
      </c>
      <c r="L21" s="16" t="str">
        <f>IF(AND(L$10&gt;=$D21,L$11&lt;=$E21),VLOOKUP($F21,$K$2:Z$8,L$1,"Falsch"),"")</f>
        <v/>
      </c>
      <c r="M21" s="16" t="str">
        <f>IF(AND(M$10&gt;=$D21,M$11&lt;=$E21),VLOOKUP($F21,$K$2:AA$8,M$1,"Falsch"),"")</f>
        <v/>
      </c>
      <c r="N21" s="16" t="str">
        <f>IF(AND(N$10&gt;=$D21,N$11&lt;=$E21),VLOOKUP($F21,$K$2:AB$8,N$1,"Falsch"),"")</f>
        <v/>
      </c>
      <c r="O21" s="16" t="str">
        <f>IF(AND(O$10&gt;=$D21,O$11&lt;=$E21),VLOOKUP($F21,$K$2:AC$8,O$1,"Falsch"),"")</f>
        <v/>
      </c>
      <c r="P21" s="16" t="str">
        <f>IF(AND(P$10&gt;=$D21,P$11&lt;=$E21),VLOOKUP($F21,$K$2:AD$8,P$1,"Falsch"),"")</f>
        <v/>
      </c>
      <c r="Q21" s="16" t="str">
        <f>IF(AND(Q$10&gt;=$D21,Q$11&lt;=$E21),VLOOKUP($F21,$K$2:AE$8,Q$1,"Falsch"),"")</f>
        <v/>
      </c>
      <c r="R21" s="16" t="str">
        <f>IF(AND(R$10&gt;=$D21,R$11&lt;=$E21),VLOOKUP($F21,$K$2:AF$8,R$1,"Falsch"),"")</f>
        <v/>
      </c>
      <c r="S21" s="16" t="str">
        <f>IF(AND(S$10&gt;=$D21,S$11&lt;=$E21),VLOOKUP($F21,$K$2:AG$8,S$1,"Falsch"),"")</f>
        <v/>
      </c>
      <c r="T21" s="16" t="str">
        <f>IF(AND(T$10&gt;=$D21,T$11&lt;=$E21),VLOOKUP($F21,$K$2:AH$8,T$1,"Falsch"),"")</f>
        <v/>
      </c>
      <c r="U21" s="16" t="str">
        <f>IF(AND(U$10&gt;=$D21,U$11&lt;=$E21),VLOOKUP($F21,$K$2:AI$8,U$1,"Falsch"),"")</f>
        <v/>
      </c>
      <c r="V21" s="16" t="str">
        <f>IF(AND(V$10&gt;=$D21,V$11&lt;=$E21),VLOOKUP($F21,$K$2:AJ$8,V$1,"Falsch"),"")</f>
        <v/>
      </c>
      <c r="W21" s="16" t="str">
        <f>IF(AND(W$10&gt;=$D21,W$11&lt;=$E21),VLOOKUP($F21,$K$2:AK$8,W$1,"Falsch"),"")</f>
        <v/>
      </c>
      <c r="X21" s="16" t="str">
        <f>IF(AND(X$10&gt;=$D21,X$11&lt;=$E21),VLOOKUP($F21,$K$2:AL$8,X$1,"Falsch"),"")</f>
        <v/>
      </c>
      <c r="Y21" s="16" t="str">
        <f>IF(AND(Y$10&gt;=$D21,Y$11&lt;=$E21),VLOOKUP($F21,$K$2:AM$8,Y$1,"Falsch"),"")</f>
        <v/>
      </c>
      <c r="Z21" s="16" t="str">
        <f>IF(AND(Z$10&gt;=$D21,Z$11&lt;=$E21),VLOOKUP($F21,$K$2:AN$8,Z$1,"Falsch"),"")</f>
        <v/>
      </c>
      <c r="AA21" s="16" t="str">
        <f>IF(AND(AA$10&gt;=$D21,AA$11&lt;=$E21),VLOOKUP($F21,$K$2:AO$8,AA$1,"Falsch"),"")</f>
        <v/>
      </c>
      <c r="AB21" s="16" t="str">
        <f>IF(AND(AB$10&gt;=$D21,AB$11&lt;=$E21),VLOOKUP($F21,$K$2:AP$8,AB$1,"Falsch"),"")</f>
        <v/>
      </c>
      <c r="AC21" s="16" t="str">
        <f>IF(AND(AC$10&gt;=$D21,AC$11&lt;=$E21),VLOOKUP($F21,$K$2:AQ$8,AC$1,"Falsch"),"")</f>
        <v/>
      </c>
      <c r="AD21" s="16" t="str">
        <f>IF(AND(AD$10&gt;=$D21,AD$11&lt;=$E21),VLOOKUP($F21,$K$2:AR$8,AD$1,"Falsch"),"")</f>
        <v/>
      </c>
      <c r="AF21" s="37">
        <f t="shared" si="10"/>
        <v>0</v>
      </c>
      <c r="AG21" s="36"/>
      <c r="AH21" s="33">
        <f t="shared" si="11"/>
        <v>0</v>
      </c>
      <c r="AI21" s="1" t="str">
        <f t="shared" si="12"/>
        <v/>
      </c>
      <c r="AJ21" s="1" t="str">
        <f t="shared" si="13"/>
        <v/>
      </c>
      <c r="AK21" s="1" t="str">
        <f t="shared" si="14"/>
        <v/>
      </c>
      <c r="AL21" s="1" t="str">
        <f t="shared" si="15"/>
        <v/>
      </c>
      <c r="AM21" s="1" t="str">
        <f t="shared" si="16"/>
        <v/>
      </c>
      <c r="AN21" s="1" t="str">
        <f t="shared" si="17"/>
        <v/>
      </c>
      <c r="AO21" s="1" t="str">
        <f t="shared" si="18"/>
        <v/>
      </c>
      <c r="AP21" s="1" t="str">
        <f t="shared" si="19"/>
        <v/>
      </c>
      <c r="AQ21" s="1" t="str">
        <f t="shared" si="20"/>
        <v/>
      </c>
      <c r="AR21" s="1" t="str">
        <f t="shared" si="21"/>
        <v/>
      </c>
      <c r="AS21" s="1" t="str">
        <f t="shared" si="22"/>
        <v/>
      </c>
      <c r="AT21" s="1" t="str">
        <f t="shared" si="23"/>
        <v/>
      </c>
      <c r="AU21" s="1" t="str">
        <f t="shared" si="24"/>
        <v/>
      </c>
      <c r="AV21" s="1" t="str">
        <f t="shared" si="25"/>
        <v/>
      </c>
      <c r="AW21" s="1" t="str">
        <f t="shared" si="26"/>
        <v/>
      </c>
      <c r="AX21" s="1" t="str">
        <f t="shared" si="27"/>
        <v/>
      </c>
      <c r="AY21" s="1" t="str">
        <f t="shared" si="28"/>
        <v/>
      </c>
      <c r="AZ21" s="1" t="str">
        <f t="shared" si="29"/>
        <v/>
      </c>
      <c r="BA21" s="1" t="str">
        <f t="shared" si="30"/>
        <v/>
      </c>
    </row>
    <row r="22" spans="1:53" x14ac:dyDescent="0.25">
      <c r="I22" s="21">
        <f t="shared" si="8"/>
        <v>0</v>
      </c>
      <c r="K22" s="25">
        <f t="shared" si="9"/>
        <v>0</v>
      </c>
      <c r="L22" s="16" t="str">
        <f>IF(AND(L$10&gt;=$D22,L$11&lt;=$E22),VLOOKUP($F22,$K$2:Z$8,L$1,"Falsch"),"")</f>
        <v/>
      </c>
      <c r="M22" s="16" t="str">
        <f>IF(AND(M$10&gt;=$D22,M$11&lt;=$E22),VLOOKUP($F22,$K$2:AA$8,M$1,"Falsch"),"")</f>
        <v/>
      </c>
      <c r="N22" s="16" t="str">
        <f>IF(AND(N$10&gt;=$D22,N$11&lt;=$E22),VLOOKUP($F22,$K$2:AB$8,N$1,"Falsch"),"")</f>
        <v/>
      </c>
      <c r="O22" s="16" t="str">
        <f>IF(AND(O$10&gt;=$D22,O$11&lt;=$E22),VLOOKUP($F22,$K$2:AC$8,O$1,"Falsch"),"")</f>
        <v/>
      </c>
      <c r="P22" s="16" t="str">
        <f>IF(AND(P$10&gt;=$D22,P$11&lt;=$E22),VLOOKUP($F22,$K$2:AD$8,P$1,"Falsch"),"")</f>
        <v/>
      </c>
      <c r="Q22" s="16" t="str">
        <f>IF(AND(Q$10&gt;=$D22,Q$11&lt;=$E22),VLOOKUP($F22,$K$2:AE$8,Q$1,"Falsch"),"")</f>
        <v/>
      </c>
      <c r="R22" s="16" t="str">
        <f>IF(AND(R$10&gt;=$D22,R$11&lt;=$E22),VLOOKUP($F22,$K$2:AF$8,R$1,"Falsch"),"")</f>
        <v/>
      </c>
      <c r="S22" s="16" t="str">
        <f>IF(AND(S$10&gt;=$D22,S$11&lt;=$E22),VLOOKUP($F22,$K$2:AG$8,S$1,"Falsch"),"")</f>
        <v/>
      </c>
      <c r="T22" s="16" t="str">
        <f>IF(AND(T$10&gt;=$D22,T$11&lt;=$E22),VLOOKUP($F22,$K$2:AH$8,T$1,"Falsch"),"")</f>
        <v/>
      </c>
      <c r="U22" s="16" t="str">
        <f>IF(AND(U$10&gt;=$D22,U$11&lt;=$E22),VLOOKUP($F22,$K$2:AI$8,U$1,"Falsch"),"")</f>
        <v/>
      </c>
      <c r="V22" s="16" t="str">
        <f>IF(AND(V$10&gt;=$D22,V$11&lt;=$E22),VLOOKUP($F22,$K$2:AJ$8,V$1,"Falsch"),"")</f>
        <v/>
      </c>
      <c r="W22" s="16" t="str">
        <f>IF(AND(W$10&gt;=$D22,W$11&lt;=$E22),VLOOKUP($F22,$K$2:AK$8,W$1,"Falsch"),"")</f>
        <v/>
      </c>
      <c r="X22" s="16" t="str">
        <f>IF(AND(X$10&gt;=$D22,X$11&lt;=$E22),VLOOKUP($F22,$K$2:AL$8,X$1,"Falsch"),"")</f>
        <v/>
      </c>
      <c r="Y22" s="16" t="str">
        <f>IF(AND(Y$10&gt;=$D22,Y$11&lt;=$E22),VLOOKUP($F22,$K$2:AM$8,Y$1,"Falsch"),"")</f>
        <v/>
      </c>
      <c r="Z22" s="16" t="str">
        <f>IF(AND(Z$10&gt;=$D22,Z$11&lt;=$E22),VLOOKUP($F22,$K$2:AN$8,Z$1,"Falsch"),"")</f>
        <v/>
      </c>
      <c r="AA22" s="16" t="str">
        <f>IF(AND(AA$10&gt;=$D22,AA$11&lt;=$E22),VLOOKUP($F22,$K$2:AO$8,AA$1,"Falsch"),"")</f>
        <v/>
      </c>
      <c r="AB22" s="16" t="str">
        <f>IF(AND(AB$10&gt;=$D22,AB$11&lt;=$E22),VLOOKUP($F22,$K$2:AP$8,AB$1,"Falsch"),"")</f>
        <v/>
      </c>
      <c r="AC22" s="16" t="str">
        <f>IF(AND(AC$10&gt;=$D22,AC$11&lt;=$E22),VLOOKUP($F22,$K$2:AQ$8,AC$1,"Falsch"),"")</f>
        <v/>
      </c>
      <c r="AD22" s="16" t="str">
        <f>IF(AND(AD$10&gt;=$D22,AD$11&lt;=$E22),VLOOKUP($F22,$K$2:AR$8,AD$1,"Falsch"),"")</f>
        <v/>
      </c>
      <c r="AF22" s="37">
        <f t="shared" si="10"/>
        <v>0</v>
      </c>
      <c r="AG22" s="36"/>
      <c r="AH22" s="33">
        <f t="shared" si="11"/>
        <v>0</v>
      </c>
      <c r="AI22" s="1" t="str">
        <f t="shared" si="12"/>
        <v/>
      </c>
      <c r="AJ22" s="1" t="str">
        <f t="shared" si="13"/>
        <v/>
      </c>
      <c r="AK22" s="1" t="str">
        <f t="shared" si="14"/>
        <v/>
      </c>
      <c r="AL22" s="1" t="str">
        <f t="shared" si="15"/>
        <v/>
      </c>
      <c r="AM22" s="1" t="str">
        <f t="shared" si="16"/>
        <v/>
      </c>
      <c r="AN22" s="1" t="str">
        <f t="shared" si="17"/>
        <v/>
      </c>
      <c r="AO22" s="1" t="str">
        <f t="shared" si="18"/>
        <v/>
      </c>
      <c r="AP22" s="1" t="str">
        <f t="shared" si="19"/>
        <v/>
      </c>
      <c r="AQ22" s="1" t="str">
        <f t="shared" si="20"/>
        <v/>
      </c>
      <c r="AR22" s="1" t="str">
        <f t="shared" si="21"/>
        <v/>
      </c>
      <c r="AS22" s="1" t="str">
        <f t="shared" si="22"/>
        <v/>
      </c>
      <c r="AT22" s="1" t="str">
        <f t="shared" si="23"/>
        <v/>
      </c>
      <c r="AU22" s="1" t="str">
        <f t="shared" si="24"/>
        <v/>
      </c>
      <c r="AV22" s="1" t="str">
        <f t="shared" si="25"/>
        <v/>
      </c>
      <c r="AW22" s="1" t="str">
        <f t="shared" si="26"/>
        <v/>
      </c>
      <c r="AX22" s="1" t="str">
        <f t="shared" si="27"/>
        <v/>
      </c>
      <c r="AY22" s="1" t="str">
        <f t="shared" si="28"/>
        <v/>
      </c>
      <c r="AZ22" s="1" t="str">
        <f t="shared" si="29"/>
        <v/>
      </c>
      <c r="BA22" s="1" t="str">
        <f t="shared" si="30"/>
        <v/>
      </c>
    </row>
    <row r="23" spans="1:53" x14ac:dyDescent="0.25">
      <c r="I23" s="21">
        <f t="shared" si="8"/>
        <v>0</v>
      </c>
      <c r="K23" s="25">
        <f t="shared" si="9"/>
        <v>0</v>
      </c>
      <c r="L23" s="16" t="str">
        <f>IF(AND(L$10&gt;=$D23,L$11&lt;=$E23),VLOOKUP($F23,$K$2:Z$8,L$1,"Falsch"),"")</f>
        <v/>
      </c>
      <c r="M23" s="16" t="str">
        <f>IF(AND(M$10&gt;=$D23,M$11&lt;=$E23),VLOOKUP($F23,$K$2:AA$8,M$1,"Falsch"),"")</f>
        <v/>
      </c>
      <c r="N23" s="16" t="str">
        <f>IF(AND(N$10&gt;=$D23,N$11&lt;=$E23),VLOOKUP($F23,$K$2:AB$8,N$1,"Falsch"),"")</f>
        <v/>
      </c>
      <c r="O23" s="16" t="str">
        <f>IF(AND(O$10&gt;=$D23,O$11&lt;=$E23),VLOOKUP($F23,$K$2:AC$8,O$1,"Falsch"),"")</f>
        <v/>
      </c>
      <c r="P23" s="16" t="str">
        <f>IF(AND(P$10&gt;=$D23,P$11&lt;=$E23),VLOOKUP($F23,$K$2:AD$8,P$1,"Falsch"),"")</f>
        <v/>
      </c>
      <c r="Q23" s="16" t="str">
        <f>IF(AND(Q$10&gt;=$D23,Q$11&lt;=$E23),VLOOKUP($F23,$K$2:AE$8,Q$1,"Falsch"),"")</f>
        <v/>
      </c>
      <c r="R23" s="16" t="str">
        <f>IF(AND(R$10&gt;=$D23,R$11&lt;=$E23),VLOOKUP($F23,$K$2:AF$8,R$1,"Falsch"),"")</f>
        <v/>
      </c>
      <c r="S23" s="16" t="str">
        <f>IF(AND(S$10&gt;=$D23,S$11&lt;=$E23),VLOOKUP($F23,$K$2:AG$8,S$1,"Falsch"),"")</f>
        <v/>
      </c>
      <c r="T23" s="16" t="str">
        <f>IF(AND(T$10&gt;=$D23,T$11&lt;=$E23),VLOOKUP($F23,$K$2:AH$8,T$1,"Falsch"),"")</f>
        <v/>
      </c>
      <c r="U23" s="16" t="str">
        <f>IF(AND(U$10&gt;=$D23,U$11&lt;=$E23),VLOOKUP($F23,$K$2:AI$8,U$1,"Falsch"),"")</f>
        <v/>
      </c>
      <c r="V23" s="16" t="str">
        <f>IF(AND(V$10&gt;=$D23,V$11&lt;=$E23),VLOOKUP($F23,$K$2:AJ$8,V$1,"Falsch"),"")</f>
        <v/>
      </c>
      <c r="W23" s="16" t="str">
        <f>IF(AND(W$10&gt;=$D23,W$11&lt;=$E23),VLOOKUP($F23,$K$2:AK$8,W$1,"Falsch"),"")</f>
        <v/>
      </c>
      <c r="X23" s="16" t="str">
        <f>IF(AND(X$10&gt;=$D23,X$11&lt;=$E23),VLOOKUP($F23,$K$2:AL$8,X$1,"Falsch"),"")</f>
        <v/>
      </c>
      <c r="Y23" s="16" t="str">
        <f>IF(AND(Y$10&gt;=$D23,Y$11&lt;=$E23),VLOOKUP($F23,$K$2:AM$8,Y$1,"Falsch"),"")</f>
        <v/>
      </c>
      <c r="Z23" s="16" t="str">
        <f>IF(AND(Z$10&gt;=$D23,Z$11&lt;=$E23),VLOOKUP($F23,$K$2:AN$8,Z$1,"Falsch"),"")</f>
        <v/>
      </c>
      <c r="AA23" s="16" t="str">
        <f>IF(AND(AA$10&gt;=$D23,AA$11&lt;=$E23),VLOOKUP($F23,$K$2:AO$8,AA$1,"Falsch"),"")</f>
        <v/>
      </c>
      <c r="AB23" s="16" t="str">
        <f>IF(AND(AB$10&gt;=$D23,AB$11&lt;=$E23),VLOOKUP($F23,$K$2:AP$8,AB$1,"Falsch"),"")</f>
        <v/>
      </c>
      <c r="AC23" s="16" t="str">
        <f>IF(AND(AC$10&gt;=$D23,AC$11&lt;=$E23),VLOOKUP($F23,$K$2:AQ$8,AC$1,"Falsch"),"")</f>
        <v/>
      </c>
      <c r="AD23" s="16" t="str">
        <f>IF(AND(AD$10&gt;=$D23,AD$11&lt;=$E23),VLOOKUP($F23,$K$2:AR$8,AD$1,"Falsch"),"")</f>
        <v/>
      </c>
      <c r="AF23" s="37">
        <f t="shared" si="10"/>
        <v>0</v>
      </c>
      <c r="AG23" s="36"/>
      <c r="AH23" s="33">
        <f t="shared" si="11"/>
        <v>0</v>
      </c>
      <c r="AI23" s="1" t="str">
        <f t="shared" si="12"/>
        <v/>
      </c>
      <c r="AJ23" s="1" t="str">
        <f t="shared" si="13"/>
        <v/>
      </c>
      <c r="AK23" s="1" t="str">
        <f t="shared" si="14"/>
        <v/>
      </c>
      <c r="AL23" s="1" t="str">
        <f t="shared" si="15"/>
        <v/>
      </c>
      <c r="AM23" s="1" t="str">
        <f t="shared" si="16"/>
        <v/>
      </c>
      <c r="AN23" s="1" t="str">
        <f t="shared" si="17"/>
        <v/>
      </c>
      <c r="AO23" s="1" t="str">
        <f t="shared" si="18"/>
        <v/>
      </c>
      <c r="AP23" s="1" t="str">
        <f t="shared" si="19"/>
        <v/>
      </c>
      <c r="AQ23" s="1" t="str">
        <f t="shared" si="20"/>
        <v/>
      </c>
      <c r="AR23" s="1" t="str">
        <f t="shared" si="21"/>
        <v/>
      </c>
      <c r="AS23" s="1" t="str">
        <f t="shared" si="22"/>
        <v/>
      </c>
      <c r="AT23" s="1" t="str">
        <f t="shared" si="23"/>
        <v/>
      </c>
      <c r="AU23" s="1" t="str">
        <f t="shared" si="24"/>
        <v/>
      </c>
      <c r="AV23" s="1" t="str">
        <f t="shared" si="25"/>
        <v/>
      </c>
      <c r="AW23" s="1" t="str">
        <f t="shared" si="26"/>
        <v/>
      </c>
      <c r="AX23" s="1" t="str">
        <f t="shared" si="27"/>
        <v/>
      </c>
      <c r="AY23" s="1" t="str">
        <f t="shared" si="28"/>
        <v/>
      </c>
      <c r="AZ23" s="1" t="str">
        <f t="shared" si="29"/>
        <v/>
      </c>
      <c r="BA23" s="1" t="str">
        <f t="shared" si="30"/>
        <v/>
      </c>
    </row>
    <row r="24" spans="1:53" x14ac:dyDescent="0.25">
      <c r="I24" s="21">
        <f t="shared" si="8"/>
        <v>0</v>
      </c>
      <c r="K24" s="25">
        <f t="shared" si="9"/>
        <v>0</v>
      </c>
      <c r="L24" s="16" t="str">
        <f>IF(AND(L$10&gt;=$D24,L$11&lt;=$E24),VLOOKUP($F24,$K$2:Z$8,L$1,"Falsch"),"")</f>
        <v/>
      </c>
      <c r="M24" s="16" t="str">
        <f>IF(AND(M$10&gt;=$D24,M$11&lt;=$E24),VLOOKUP($F24,$K$2:AA$8,M$1,"Falsch"),"")</f>
        <v/>
      </c>
      <c r="N24" s="16" t="str">
        <f>IF(AND(N$10&gt;=$D24,N$11&lt;=$E24),VLOOKUP($F24,$K$2:AB$8,N$1,"Falsch"),"")</f>
        <v/>
      </c>
      <c r="O24" s="16" t="str">
        <f>IF(AND(O$10&gt;=$D24,O$11&lt;=$E24),VLOOKUP($F24,$K$2:AC$8,O$1,"Falsch"),"")</f>
        <v/>
      </c>
      <c r="P24" s="16" t="str">
        <f>IF(AND(P$10&gt;=$D24,P$11&lt;=$E24),VLOOKUP($F24,$K$2:AD$8,P$1,"Falsch"),"")</f>
        <v/>
      </c>
      <c r="Q24" s="16" t="str">
        <f>IF(AND(Q$10&gt;=$D24,Q$11&lt;=$E24),VLOOKUP($F24,$K$2:AE$8,Q$1,"Falsch"),"")</f>
        <v/>
      </c>
      <c r="R24" s="16" t="str">
        <f>IF(AND(R$10&gt;=$D24,R$11&lt;=$E24),VLOOKUP($F24,$K$2:AF$8,R$1,"Falsch"),"")</f>
        <v/>
      </c>
      <c r="S24" s="16" t="str">
        <f>IF(AND(S$10&gt;=$D24,S$11&lt;=$E24),VLOOKUP($F24,$K$2:AG$8,S$1,"Falsch"),"")</f>
        <v/>
      </c>
      <c r="T24" s="16" t="str">
        <f>IF(AND(T$10&gt;=$D24,T$11&lt;=$E24),VLOOKUP($F24,$K$2:AH$8,T$1,"Falsch"),"")</f>
        <v/>
      </c>
      <c r="U24" s="16" t="str">
        <f>IF(AND(U$10&gt;=$D24,U$11&lt;=$E24),VLOOKUP($F24,$K$2:AI$8,U$1,"Falsch"),"")</f>
        <v/>
      </c>
      <c r="V24" s="16" t="str">
        <f>IF(AND(V$10&gt;=$D24,V$11&lt;=$E24),VLOOKUP($F24,$K$2:AJ$8,V$1,"Falsch"),"")</f>
        <v/>
      </c>
      <c r="W24" s="16" t="str">
        <f>IF(AND(W$10&gt;=$D24,W$11&lt;=$E24),VLOOKUP($F24,$K$2:AK$8,W$1,"Falsch"),"")</f>
        <v/>
      </c>
      <c r="X24" s="16" t="str">
        <f>IF(AND(X$10&gt;=$D24,X$11&lt;=$E24),VLOOKUP($F24,$K$2:AL$8,X$1,"Falsch"),"")</f>
        <v/>
      </c>
      <c r="Y24" s="16" t="str">
        <f>IF(AND(Y$10&gt;=$D24,Y$11&lt;=$E24),VLOOKUP($F24,$K$2:AM$8,Y$1,"Falsch"),"")</f>
        <v/>
      </c>
      <c r="Z24" s="16" t="str">
        <f>IF(AND(Z$10&gt;=$D24,Z$11&lt;=$E24),VLOOKUP($F24,$K$2:AN$8,Z$1,"Falsch"),"")</f>
        <v/>
      </c>
      <c r="AA24" s="16" t="str">
        <f>IF(AND(AA$10&gt;=$D24,AA$11&lt;=$E24),VLOOKUP($F24,$K$2:AO$8,AA$1,"Falsch"),"")</f>
        <v/>
      </c>
      <c r="AB24" s="16" t="str">
        <f>IF(AND(AB$10&gt;=$D24,AB$11&lt;=$E24),VLOOKUP($F24,$K$2:AP$8,AB$1,"Falsch"),"")</f>
        <v/>
      </c>
      <c r="AC24" s="16" t="str">
        <f>IF(AND(AC$10&gt;=$D24,AC$11&lt;=$E24),VLOOKUP($F24,$K$2:AQ$8,AC$1,"Falsch"),"")</f>
        <v/>
      </c>
      <c r="AD24" s="16" t="str">
        <f>IF(AND(AD$10&gt;=$D24,AD$11&lt;=$E24),VLOOKUP($F24,$K$2:AR$8,AD$1,"Falsch"),"")</f>
        <v/>
      </c>
    </row>
    <row r="25" spans="1:53" x14ac:dyDescent="0.25">
      <c r="I25" s="21">
        <f t="shared" si="8"/>
        <v>0</v>
      </c>
      <c r="K25" s="25">
        <f t="shared" si="9"/>
        <v>0</v>
      </c>
      <c r="L25" s="16" t="str">
        <f>IF(AND(L$10&gt;=$D25,L$11&lt;=$E25),VLOOKUP($F25,$K$2:Z$8,L$1,"Falsch"),"")</f>
        <v/>
      </c>
      <c r="M25" s="16" t="str">
        <f>IF(AND(M$10&gt;=$D25,M$11&lt;=$E25),VLOOKUP($F25,$K$2:AA$8,M$1,"Falsch"),"")</f>
        <v/>
      </c>
      <c r="N25" s="16" t="str">
        <f>IF(AND(N$10&gt;=$D25,N$11&lt;=$E25),VLOOKUP($F25,$K$2:AB$8,N$1,"Falsch"),"")</f>
        <v/>
      </c>
      <c r="O25" s="16" t="str">
        <f>IF(AND(O$10&gt;=$D25,O$11&lt;=$E25),VLOOKUP($F25,$K$2:AC$8,O$1,"Falsch"),"")</f>
        <v/>
      </c>
      <c r="P25" s="16" t="str">
        <f>IF(AND(P$10&gt;=$D25,P$11&lt;=$E25),VLOOKUP($F25,$K$2:AD$8,P$1,"Falsch"),"")</f>
        <v/>
      </c>
      <c r="Q25" s="16" t="str">
        <f>IF(AND(Q$10&gt;=$D25,Q$11&lt;=$E25),VLOOKUP($F25,$K$2:AE$8,Q$1,"Falsch"),"")</f>
        <v/>
      </c>
      <c r="R25" s="16" t="str">
        <f>IF(AND(R$10&gt;=$D25,R$11&lt;=$E25),VLOOKUP($F25,$K$2:AF$8,R$1,"Falsch"),"")</f>
        <v/>
      </c>
      <c r="S25" s="16" t="str">
        <f>IF(AND(S$10&gt;=$D25,S$11&lt;=$E25),VLOOKUP($F25,$K$2:AG$8,S$1,"Falsch"),"")</f>
        <v/>
      </c>
      <c r="T25" s="16" t="str">
        <f>IF(AND(T$10&gt;=$D25,T$11&lt;=$E25),VLOOKUP($F25,$K$2:AH$8,T$1,"Falsch"),"")</f>
        <v/>
      </c>
      <c r="U25" s="16" t="str">
        <f>IF(AND(U$10&gt;=$D25,U$11&lt;=$E25),VLOOKUP($F25,$K$2:AI$8,U$1,"Falsch"),"")</f>
        <v/>
      </c>
      <c r="V25" s="16" t="str">
        <f>IF(AND(V$10&gt;=$D25,V$11&lt;=$E25),VLOOKUP($F25,$K$2:AJ$8,V$1,"Falsch"),"")</f>
        <v/>
      </c>
      <c r="W25" s="16" t="str">
        <f>IF(AND(W$10&gt;=$D25,W$11&lt;=$E25),VLOOKUP($F25,$K$2:AK$8,W$1,"Falsch"),"")</f>
        <v/>
      </c>
      <c r="X25" s="16" t="str">
        <f>IF(AND(X$10&gt;=$D25,X$11&lt;=$E25),VLOOKUP($F25,$K$2:AL$8,X$1,"Falsch"),"")</f>
        <v/>
      </c>
      <c r="Y25" s="16" t="str">
        <f>IF(AND(Y$10&gt;=$D25,Y$11&lt;=$E25),VLOOKUP($F25,$K$2:AM$8,Y$1,"Falsch"),"")</f>
        <v/>
      </c>
      <c r="Z25" s="16" t="str">
        <f>IF(AND(Z$10&gt;=$D25,Z$11&lt;=$E25),VLOOKUP($F25,$K$2:AN$8,Z$1,"Falsch"),"")</f>
        <v/>
      </c>
      <c r="AA25" s="16" t="str">
        <f>IF(AND(AA$10&gt;=$D25,AA$11&lt;=$E25),VLOOKUP($F25,$K$2:AO$8,AA$1,"Falsch"),"")</f>
        <v/>
      </c>
      <c r="AB25" s="16" t="str">
        <f>IF(AND(AB$10&gt;=$D25,AB$11&lt;=$E25),VLOOKUP($F25,$K$2:AP$8,AB$1,"Falsch"),"")</f>
        <v/>
      </c>
      <c r="AC25" s="16" t="str">
        <f>IF(AND(AC$10&gt;=$D25,AC$11&lt;=$E25),VLOOKUP($F25,$K$2:AQ$8,AC$1,"Falsch"),"")</f>
        <v/>
      </c>
      <c r="AD25" s="16" t="str">
        <f>IF(AND(AD$10&gt;=$D25,AD$11&lt;=$E25),VLOOKUP($F25,$K$2:AR$8,AD$1,"Falsch"),"")</f>
        <v/>
      </c>
    </row>
    <row r="26" spans="1:53" x14ac:dyDescent="0.25">
      <c r="I26" s="21">
        <f t="shared" si="8"/>
        <v>0</v>
      </c>
      <c r="K26" s="25">
        <f t="shared" si="9"/>
        <v>0</v>
      </c>
      <c r="L26" s="16" t="str">
        <f>IF(AND(L$10&gt;=$D26,L$11&lt;=$E26),VLOOKUP($F26,$K$2:Z$8,L$1,"Falsch"),"")</f>
        <v/>
      </c>
      <c r="M26" s="16" t="str">
        <f>IF(AND(M$10&gt;=$D26,M$11&lt;=$E26),VLOOKUP($F26,$K$2:AA$8,M$1,"Falsch"),"")</f>
        <v/>
      </c>
      <c r="N26" s="16" t="str">
        <f>IF(AND(N$10&gt;=$D26,N$11&lt;=$E26),VLOOKUP($F26,$K$2:AB$8,N$1,"Falsch"),"")</f>
        <v/>
      </c>
      <c r="O26" s="16" t="str">
        <f>IF(AND(O$10&gt;=$D26,O$11&lt;=$E26),VLOOKUP($F26,$K$2:AC$8,O$1,"Falsch"),"")</f>
        <v/>
      </c>
      <c r="P26" s="16" t="str">
        <f>IF(AND(P$10&gt;=$D26,P$11&lt;=$E26),VLOOKUP($F26,$K$2:AD$8,P$1,"Falsch"),"")</f>
        <v/>
      </c>
      <c r="Q26" s="16" t="str">
        <f>IF(AND(Q$10&gt;=$D26,Q$11&lt;=$E26),VLOOKUP($F26,$K$2:AE$8,Q$1,"Falsch"),"")</f>
        <v/>
      </c>
      <c r="R26" s="16" t="str">
        <f>IF(AND(R$10&gt;=$D26,R$11&lt;=$E26),VLOOKUP($F26,$K$2:AF$8,R$1,"Falsch"),"")</f>
        <v/>
      </c>
      <c r="S26" s="16" t="str">
        <f>IF(AND(S$10&gt;=$D26,S$11&lt;=$E26),VLOOKUP($F26,$K$2:AG$8,S$1,"Falsch"),"")</f>
        <v/>
      </c>
      <c r="T26" s="16" t="str">
        <f>IF(AND(T$10&gt;=$D26,T$11&lt;=$E26),VLOOKUP($F26,$K$2:AH$8,T$1,"Falsch"),"")</f>
        <v/>
      </c>
      <c r="U26" s="16" t="str">
        <f>IF(AND(U$10&gt;=$D26,U$11&lt;=$E26),VLOOKUP($F26,$K$2:AI$8,U$1,"Falsch"),"")</f>
        <v/>
      </c>
      <c r="V26" s="16" t="str">
        <f>IF(AND(V$10&gt;=$D26,V$11&lt;=$E26),VLOOKUP($F26,$K$2:AJ$8,V$1,"Falsch"),"")</f>
        <v/>
      </c>
      <c r="W26" s="16" t="str">
        <f>IF(AND(W$10&gt;=$D26,W$11&lt;=$E26),VLOOKUP($F26,$K$2:AK$8,W$1,"Falsch"),"")</f>
        <v/>
      </c>
      <c r="X26" s="16" t="str">
        <f>IF(AND(X$10&gt;=$D26,X$11&lt;=$E26),VLOOKUP($F26,$K$2:AL$8,X$1,"Falsch"),"")</f>
        <v/>
      </c>
      <c r="Y26" s="16" t="str">
        <f>IF(AND(Y$10&gt;=$D26,Y$11&lt;=$E26),VLOOKUP($F26,$K$2:AM$8,Y$1,"Falsch"),"")</f>
        <v/>
      </c>
      <c r="Z26" s="16" t="str">
        <f>IF(AND(Z$10&gt;=$D26,Z$11&lt;=$E26),VLOOKUP($F26,$K$2:AN$8,Z$1,"Falsch"),"")</f>
        <v/>
      </c>
      <c r="AA26" s="16" t="str">
        <f>IF(AND(AA$10&gt;=$D26,AA$11&lt;=$E26),VLOOKUP($F26,$K$2:AO$8,AA$1,"Falsch"),"")</f>
        <v/>
      </c>
      <c r="AB26" s="16" t="str">
        <f>IF(AND(AB$10&gt;=$D26,AB$11&lt;=$E26),VLOOKUP($F26,$K$2:AP$8,AB$1,"Falsch"),"")</f>
        <v/>
      </c>
      <c r="AC26" s="16" t="str">
        <f>IF(AND(AC$10&gt;=$D26,AC$11&lt;=$E26),VLOOKUP($F26,$K$2:AQ$8,AC$1,"Falsch"),"")</f>
        <v/>
      </c>
      <c r="AD26" s="16" t="str">
        <f>IF(AND(AD$10&gt;=$D26,AD$11&lt;=$E26),VLOOKUP($F26,$K$2:AR$8,AD$1,"Falsch"),"")</f>
        <v/>
      </c>
    </row>
    <row r="27" spans="1:53" x14ac:dyDescent="0.25">
      <c r="I27" s="21">
        <f t="shared" si="8"/>
        <v>0</v>
      </c>
      <c r="K27" s="25">
        <f t="shared" si="9"/>
        <v>0</v>
      </c>
      <c r="L27" s="16" t="str">
        <f>IF(AND(L$10&gt;=$D27,L$11&lt;=$E27),VLOOKUP($F27,$K$2:Z$8,L$1,"Falsch"),"")</f>
        <v/>
      </c>
      <c r="M27" s="16" t="str">
        <f>IF(AND(M$10&gt;=$D27,M$11&lt;=$E27),VLOOKUP($F27,$K$2:AA$8,M$1,"Falsch"),"")</f>
        <v/>
      </c>
      <c r="N27" s="16" t="str">
        <f>IF(AND(N$10&gt;=$D27,N$11&lt;=$E27),VLOOKUP($F27,$K$2:AB$8,N$1,"Falsch"),"")</f>
        <v/>
      </c>
      <c r="O27" s="16" t="str">
        <f>IF(AND(O$10&gt;=$D27,O$11&lt;=$E27),VLOOKUP($F27,$K$2:AC$8,O$1,"Falsch"),"")</f>
        <v/>
      </c>
      <c r="P27" s="16" t="str">
        <f>IF(AND(P$10&gt;=$D27,P$11&lt;=$E27),VLOOKUP($F27,$K$2:AD$8,P$1,"Falsch"),"")</f>
        <v/>
      </c>
      <c r="Q27" s="16" t="str">
        <f>IF(AND(Q$10&gt;=$D27,Q$11&lt;=$E27),VLOOKUP($F27,$K$2:AE$8,Q$1,"Falsch"),"")</f>
        <v/>
      </c>
      <c r="R27" s="16" t="str">
        <f>IF(AND(R$10&gt;=$D27,R$11&lt;=$E27),VLOOKUP($F27,$K$2:AF$8,R$1,"Falsch"),"")</f>
        <v/>
      </c>
      <c r="S27" s="16" t="str">
        <f>IF(AND(S$10&gt;=$D27,S$11&lt;=$E27),VLOOKUP($F27,$K$2:AG$8,S$1,"Falsch"),"")</f>
        <v/>
      </c>
      <c r="T27" s="16" t="str">
        <f>IF(AND(T$10&gt;=$D27,T$11&lt;=$E27),VLOOKUP($F27,$K$2:AH$8,T$1,"Falsch"),"")</f>
        <v/>
      </c>
      <c r="U27" s="16" t="str">
        <f>IF(AND(U$10&gt;=$D27,U$11&lt;=$E27),VLOOKUP($F27,$K$2:AI$8,U$1,"Falsch"),"")</f>
        <v/>
      </c>
      <c r="V27" s="16" t="str">
        <f>IF(AND(V$10&gt;=$D27,V$11&lt;=$E27),VLOOKUP($F27,$K$2:AJ$8,V$1,"Falsch"),"")</f>
        <v/>
      </c>
      <c r="W27" s="16" t="str">
        <f>IF(AND(W$10&gt;=$D27,W$11&lt;=$E27),VLOOKUP($F27,$K$2:AK$8,W$1,"Falsch"),"")</f>
        <v/>
      </c>
      <c r="X27" s="16" t="str">
        <f>IF(AND(X$10&gt;=$D27,X$11&lt;=$E27),VLOOKUP($F27,$K$2:AL$8,X$1,"Falsch"),"")</f>
        <v/>
      </c>
      <c r="Y27" s="16" t="str">
        <f>IF(AND(Y$10&gt;=$D27,Y$11&lt;=$E27),VLOOKUP($F27,$K$2:AM$8,Y$1,"Falsch"),"")</f>
        <v/>
      </c>
      <c r="Z27" s="16" t="str">
        <f>IF(AND(Z$10&gt;=$D27,Z$11&lt;=$E27),VLOOKUP($F27,$K$2:AN$8,Z$1,"Falsch"),"")</f>
        <v/>
      </c>
      <c r="AA27" s="16" t="str">
        <f>IF(AND(AA$10&gt;=$D27,AA$11&lt;=$E27),VLOOKUP($F27,$K$2:AO$8,AA$1,"Falsch"),"")</f>
        <v/>
      </c>
      <c r="AB27" s="16" t="str">
        <f>IF(AND(AB$10&gt;=$D27,AB$11&lt;=$E27),VLOOKUP($F27,$K$2:AP$8,AB$1,"Falsch"),"")</f>
        <v/>
      </c>
      <c r="AC27" s="16" t="str">
        <f>IF(AND(AC$10&gt;=$D27,AC$11&lt;=$E27),VLOOKUP($F27,$K$2:AQ$8,AC$1,"Falsch"),"")</f>
        <v/>
      </c>
      <c r="AD27" s="16" t="str">
        <f>IF(AND(AD$10&gt;=$D27,AD$11&lt;=$E27),VLOOKUP($F27,$K$2:AR$8,AD$1,"Falsch"),"")</f>
        <v/>
      </c>
    </row>
    <row r="28" spans="1:53" x14ac:dyDescent="0.25">
      <c r="I28" s="21">
        <f t="shared" si="8"/>
        <v>0</v>
      </c>
      <c r="K28" s="25">
        <f t="shared" si="9"/>
        <v>0</v>
      </c>
      <c r="L28" s="16" t="str">
        <f>IF(AND(L$10&gt;=$D28,L$11&lt;=$E28),VLOOKUP($F28,$K$2:Z$8,L$1,"Falsch"),"")</f>
        <v/>
      </c>
      <c r="M28" s="16" t="str">
        <f>IF(AND(M$10&gt;=$D28,M$11&lt;=$E28),VLOOKUP($F28,$K$2:AA$8,M$1,"Falsch"),"")</f>
        <v/>
      </c>
      <c r="N28" s="16" t="str">
        <f>IF(AND(N$10&gt;=$D28,N$11&lt;=$E28),VLOOKUP($F28,$K$2:AB$8,N$1,"Falsch"),"")</f>
        <v/>
      </c>
      <c r="O28" s="16" t="str">
        <f>IF(AND(O$10&gt;=$D28,O$11&lt;=$E28),VLOOKUP($F28,$K$2:AC$8,O$1,"Falsch"),"")</f>
        <v/>
      </c>
      <c r="P28" s="16" t="str">
        <f>IF(AND(P$10&gt;=$D28,P$11&lt;=$E28),VLOOKUP($F28,$K$2:AD$8,P$1,"Falsch"),"")</f>
        <v/>
      </c>
      <c r="Q28" s="16" t="str">
        <f>IF(AND(Q$10&gt;=$D28,Q$11&lt;=$E28),VLOOKUP($F28,$K$2:AE$8,Q$1,"Falsch"),"")</f>
        <v/>
      </c>
      <c r="R28" s="16" t="str">
        <f>IF(AND(R$10&gt;=$D28,R$11&lt;=$E28),VLOOKUP($F28,$K$2:AF$8,R$1,"Falsch"),"")</f>
        <v/>
      </c>
      <c r="S28" s="16" t="str">
        <f>IF(AND(S$10&gt;=$D28,S$11&lt;=$E28),VLOOKUP($F28,$K$2:AG$8,S$1,"Falsch"),"")</f>
        <v/>
      </c>
      <c r="T28" s="16" t="str">
        <f>IF(AND(T$10&gt;=$D28,T$11&lt;=$E28),VLOOKUP($F28,$K$2:AH$8,T$1,"Falsch"),"")</f>
        <v/>
      </c>
      <c r="U28" s="16" t="str">
        <f>IF(AND(U$10&gt;=$D28,U$11&lt;=$E28),VLOOKUP($F28,$K$2:AI$8,U$1,"Falsch"),"")</f>
        <v/>
      </c>
      <c r="V28" s="16" t="str">
        <f>IF(AND(V$10&gt;=$D28,V$11&lt;=$E28),VLOOKUP($F28,$K$2:AJ$8,V$1,"Falsch"),"")</f>
        <v/>
      </c>
      <c r="W28" s="16" t="str">
        <f>IF(AND(W$10&gt;=$D28,W$11&lt;=$E28),VLOOKUP($F28,$K$2:AK$8,W$1,"Falsch"),"")</f>
        <v/>
      </c>
      <c r="X28" s="16" t="str">
        <f>IF(AND(X$10&gt;=$D28,X$11&lt;=$E28),VLOOKUP($F28,$K$2:AL$8,X$1,"Falsch"),"")</f>
        <v/>
      </c>
      <c r="Y28" s="16" t="str">
        <f>IF(AND(Y$10&gt;=$D28,Y$11&lt;=$E28),VLOOKUP($F28,$K$2:AM$8,Y$1,"Falsch"),"")</f>
        <v/>
      </c>
      <c r="Z28" s="16" t="str">
        <f>IF(AND(Z$10&gt;=$D28,Z$11&lt;=$E28),VLOOKUP($F28,$K$2:AN$8,Z$1,"Falsch"),"")</f>
        <v/>
      </c>
      <c r="AA28" s="16" t="str">
        <f>IF(AND(AA$10&gt;=$D28,AA$11&lt;=$E28),VLOOKUP($F28,$K$2:AO$8,AA$1,"Falsch"),"")</f>
        <v/>
      </c>
      <c r="AB28" s="16" t="str">
        <f>IF(AND(AB$10&gt;=$D28,AB$11&lt;=$E28),VLOOKUP($F28,$K$2:AP$8,AB$1,"Falsch"),"")</f>
        <v/>
      </c>
      <c r="AC28" s="16" t="str">
        <f>IF(AND(AC$10&gt;=$D28,AC$11&lt;=$E28),VLOOKUP($F28,$K$2:AQ$8,AC$1,"Falsch"),"")</f>
        <v/>
      </c>
      <c r="AD28" s="16" t="str">
        <f>IF(AND(AD$10&gt;=$D28,AD$11&lt;=$E28),VLOOKUP($F28,$K$2:AR$8,AD$1,"Falsch"),"")</f>
        <v/>
      </c>
    </row>
    <row r="29" spans="1:53" x14ac:dyDescent="0.25">
      <c r="I29" s="21">
        <f t="shared" si="8"/>
        <v>0</v>
      </c>
      <c r="K29" s="25">
        <f t="shared" si="9"/>
        <v>0</v>
      </c>
      <c r="L29" s="16" t="str">
        <f>IF(AND(L$10&gt;=$D29,L$11&lt;=$E29),VLOOKUP($F29,$K$2:Z$8,L$1,"Falsch"),"")</f>
        <v/>
      </c>
      <c r="M29" s="16" t="str">
        <f>IF(AND(M$10&gt;=$D29,M$11&lt;=$E29),VLOOKUP($F29,$K$2:AA$8,M$1,"Falsch"),"")</f>
        <v/>
      </c>
      <c r="N29" s="16" t="str">
        <f>IF(AND(N$10&gt;=$D29,N$11&lt;=$E29),VLOOKUP($F29,$K$2:AB$8,N$1,"Falsch"),"")</f>
        <v/>
      </c>
      <c r="O29" s="16" t="str">
        <f>IF(AND(O$10&gt;=$D29,O$11&lt;=$E29),VLOOKUP($F29,$K$2:AC$8,O$1,"Falsch"),"")</f>
        <v/>
      </c>
      <c r="P29" s="16" t="str">
        <f>IF(AND(P$10&gt;=$D29,P$11&lt;=$E29),VLOOKUP($F29,$K$2:AD$8,P$1,"Falsch"),"")</f>
        <v/>
      </c>
      <c r="Q29" s="16" t="str">
        <f>IF(AND(Q$10&gt;=$D29,Q$11&lt;=$E29),VLOOKUP($F29,$K$2:AE$8,Q$1,"Falsch"),"")</f>
        <v/>
      </c>
      <c r="R29" s="16" t="str">
        <f>IF(AND(R$10&gt;=$D29,R$11&lt;=$E29),VLOOKUP($F29,$K$2:AF$8,R$1,"Falsch"),"")</f>
        <v/>
      </c>
      <c r="S29" s="16" t="str">
        <f>IF(AND(S$10&gt;=$D29,S$11&lt;=$E29),VLOOKUP($F29,$K$2:AG$8,S$1,"Falsch"),"")</f>
        <v/>
      </c>
      <c r="T29" s="16" t="str">
        <f>IF(AND(T$10&gt;=$D29,T$11&lt;=$E29),VLOOKUP($F29,$K$2:AH$8,T$1,"Falsch"),"")</f>
        <v/>
      </c>
      <c r="U29" s="16" t="str">
        <f>IF(AND(U$10&gt;=$D29,U$11&lt;=$E29),VLOOKUP($F29,$K$2:AI$8,U$1,"Falsch"),"")</f>
        <v/>
      </c>
      <c r="V29" s="16" t="str">
        <f>IF(AND(V$10&gt;=$D29,V$11&lt;=$E29),VLOOKUP($F29,$K$2:AJ$8,V$1,"Falsch"),"")</f>
        <v/>
      </c>
      <c r="W29" s="16" t="str">
        <f>IF(AND(W$10&gt;=$D29,W$11&lt;=$E29),VLOOKUP($F29,$K$2:AK$8,W$1,"Falsch"),"")</f>
        <v/>
      </c>
      <c r="X29" s="16" t="str">
        <f>IF(AND(X$10&gt;=$D29,X$11&lt;=$E29),VLOOKUP($F29,$K$2:AL$8,X$1,"Falsch"),"")</f>
        <v/>
      </c>
      <c r="Y29" s="16" t="str">
        <f>IF(AND(Y$10&gt;=$D29,Y$11&lt;=$E29),VLOOKUP($F29,$K$2:AM$8,Y$1,"Falsch"),"")</f>
        <v/>
      </c>
      <c r="Z29" s="16" t="str">
        <f>IF(AND(Z$10&gt;=$D29,Z$11&lt;=$E29),VLOOKUP($F29,$K$2:AN$8,Z$1,"Falsch"),"")</f>
        <v/>
      </c>
      <c r="AA29" s="16" t="str">
        <f>IF(AND(AA$10&gt;=$D29,AA$11&lt;=$E29),VLOOKUP($F29,$K$2:AO$8,AA$1,"Falsch"),"")</f>
        <v/>
      </c>
      <c r="AB29" s="16" t="str">
        <f>IF(AND(AB$10&gt;=$D29,AB$11&lt;=$E29),VLOOKUP($F29,$K$2:AP$8,AB$1,"Falsch"),"")</f>
        <v/>
      </c>
      <c r="AC29" s="16" t="str">
        <f>IF(AND(AC$10&gt;=$D29,AC$11&lt;=$E29),VLOOKUP($F29,$K$2:AQ$8,AC$1,"Falsch"),"")</f>
        <v/>
      </c>
      <c r="AD29" s="16" t="str">
        <f>IF(AND(AD$10&gt;=$D29,AD$11&lt;=$E29),VLOOKUP($F29,$K$2:AR$8,AD$1,"Falsch"),"")</f>
        <v/>
      </c>
    </row>
    <row r="30" spans="1:53" x14ac:dyDescent="0.25">
      <c r="I30" s="21">
        <f t="shared" si="8"/>
        <v>0</v>
      </c>
      <c r="K30" s="25">
        <f t="shared" si="9"/>
        <v>0</v>
      </c>
      <c r="L30" s="16" t="str">
        <f>IF(AND(L$10&gt;=$D30,L$11&lt;=$E30),VLOOKUP($F30,$K$2:Z$8,L$1,"Falsch"),"")</f>
        <v/>
      </c>
      <c r="M30" s="16" t="str">
        <f>IF(AND(M$10&gt;=$D30,M$11&lt;=$E30),VLOOKUP($F30,$K$2:AA$8,M$1,"Falsch"),"")</f>
        <v/>
      </c>
      <c r="N30" s="16" t="str">
        <f>IF(AND(N$10&gt;=$D30,N$11&lt;=$E30),VLOOKUP($F30,$K$2:AB$8,N$1,"Falsch"),"")</f>
        <v/>
      </c>
      <c r="O30" s="16" t="str">
        <f>IF(AND(O$10&gt;=$D30,O$11&lt;=$E30),VLOOKUP($F30,$K$2:AC$8,O$1,"Falsch"),"")</f>
        <v/>
      </c>
      <c r="P30" s="16" t="str">
        <f>IF(AND(P$10&gt;=$D30,P$11&lt;=$E30),VLOOKUP($F30,$K$2:AD$8,P$1,"Falsch"),"")</f>
        <v/>
      </c>
      <c r="Q30" s="16" t="str">
        <f>IF(AND(Q$10&gt;=$D30,Q$11&lt;=$E30),VLOOKUP($F30,$K$2:AE$8,Q$1,"Falsch"),"")</f>
        <v/>
      </c>
      <c r="R30" s="16" t="str">
        <f>IF(AND(R$10&gt;=$D30,R$11&lt;=$E30),VLOOKUP($F30,$K$2:AF$8,R$1,"Falsch"),"")</f>
        <v/>
      </c>
      <c r="S30" s="16" t="str">
        <f>IF(AND(S$10&gt;=$D30,S$11&lt;=$E30),VLOOKUP($F30,$K$2:AG$8,S$1,"Falsch"),"")</f>
        <v/>
      </c>
      <c r="T30" s="16" t="str">
        <f>IF(AND(T$10&gt;=$D30,T$11&lt;=$E30),VLOOKUP($F30,$K$2:AH$8,T$1,"Falsch"),"")</f>
        <v/>
      </c>
      <c r="U30" s="16" t="str">
        <f>IF(AND(U$10&gt;=$D30,U$11&lt;=$E30),VLOOKUP($F30,$K$2:AI$8,U$1,"Falsch"),"")</f>
        <v/>
      </c>
      <c r="V30" s="16" t="str">
        <f>IF(AND(V$10&gt;=$D30,V$11&lt;=$E30),VLOOKUP($F30,$K$2:AJ$8,V$1,"Falsch"),"")</f>
        <v/>
      </c>
      <c r="W30" s="16" t="str">
        <f>IF(AND(W$10&gt;=$D30,W$11&lt;=$E30),VLOOKUP($F30,$K$2:AK$8,W$1,"Falsch"),"")</f>
        <v/>
      </c>
      <c r="X30" s="16" t="str">
        <f>IF(AND(X$10&gt;=$D30,X$11&lt;=$E30),VLOOKUP($F30,$K$2:AL$8,X$1,"Falsch"),"")</f>
        <v/>
      </c>
      <c r="Y30" s="16" t="str">
        <f>IF(AND(Y$10&gt;=$D30,Y$11&lt;=$E30),VLOOKUP($F30,$K$2:AM$8,Y$1,"Falsch"),"")</f>
        <v/>
      </c>
      <c r="Z30" s="16" t="str">
        <f>IF(AND(Z$10&gt;=$D30,Z$11&lt;=$E30),VLOOKUP($F30,$K$2:AN$8,Z$1,"Falsch"),"")</f>
        <v/>
      </c>
      <c r="AA30" s="16" t="str">
        <f>IF(AND(AA$10&gt;=$D30,AA$11&lt;=$E30),VLOOKUP($F30,$K$2:AO$8,AA$1,"Falsch"),"")</f>
        <v/>
      </c>
      <c r="AB30" s="16" t="str">
        <f>IF(AND(AB$10&gt;=$D30,AB$11&lt;=$E30),VLOOKUP($F30,$K$2:AP$8,AB$1,"Falsch"),"")</f>
        <v/>
      </c>
      <c r="AC30" s="16" t="str">
        <f>IF(AND(AC$10&gt;=$D30,AC$11&lt;=$E30),VLOOKUP($F30,$K$2:AQ$8,AC$1,"Falsch"),"")</f>
        <v/>
      </c>
      <c r="AD30" s="16" t="str">
        <f>IF(AND(AD$10&gt;=$D30,AD$11&lt;=$E30),VLOOKUP($F30,$K$2:AR$8,AD$1,"Falsch"),"")</f>
        <v/>
      </c>
    </row>
    <row r="31" spans="1:53" x14ac:dyDescent="0.25">
      <c r="I31" s="21">
        <f t="shared" si="8"/>
        <v>0</v>
      </c>
      <c r="K31" s="25">
        <f t="shared" si="9"/>
        <v>0</v>
      </c>
      <c r="L31" s="16" t="str">
        <f>IF(AND(L$10&gt;=$D31,L$11&lt;=$E31),VLOOKUP($F31,$K$2:Z$8,L$1,"Falsch"),"")</f>
        <v/>
      </c>
      <c r="M31" s="16" t="str">
        <f>IF(AND(M$10&gt;=$D31,M$11&lt;=$E31),VLOOKUP($F31,$K$2:AA$8,M$1,"Falsch"),"")</f>
        <v/>
      </c>
      <c r="N31" s="16" t="str">
        <f>IF(AND(N$10&gt;=$D31,N$11&lt;=$E31),VLOOKUP($F31,$K$2:AB$8,N$1,"Falsch"),"")</f>
        <v/>
      </c>
      <c r="O31" s="16" t="str">
        <f>IF(AND(O$10&gt;=$D31,O$11&lt;=$E31),VLOOKUP($F31,$K$2:AC$8,O$1,"Falsch"),"")</f>
        <v/>
      </c>
      <c r="P31" s="16" t="str">
        <f>IF(AND(P$10&gt;=$D31,P$11&lt;=$E31),VLOOKUP($F31,$K$2:AD$8,P$1,"Falsch"),"")</f>
        <v/>
      </c>
      <c r="Q31" s="16" t="str">
        <f>IF(AND(Q$10&gt;=$D31,Q$11&lt;=$E31),VLOOKUP($F31,$K$2:AE$8,Q$1,"Falsch"),"")</f>
        <v/>
      </c>
      <c r="R31" s="16" t="str">
        <f>IF(AND(R$10&gt;=$D31,R$11&lt;=$E31),VLOOKUP($F31,$K$2:AF$8,R$1,"Falsch"),"")</f>
        <v/>
      </c>
      <c r="S31" s="16" t="str">
        <f>IF(AND(S$10&gt;=$D31,S$11&lt;=$E31),VLOOKUP($F31,$K$2:AG$8,S$1,"Falsch"),"")</f>
        <v/>
      </c>
      <c r="T31" s="16" t="str">
        <f>IF(AND(T$10&gt;=$D31,T$11&lt;=$E31),VLOOKUP($F31,$K$2:AH$8,T$1,"Falsch"),"")</f>
        <v/>
      </c>
      <c r="U31" s="16" t="str">
        <f>IF(AND(U$10&gt;=$D31,U$11&lt;=$E31),VLOOKUP($F31,$K$2:AI$8,U$1,"Falsch"),"")</f>
        <v/>
      </c>
      <c r="V31" s="16" t="str">
        <f>IF(AND(V$10&gt;=$D31,V$11&lt;=$E31),VLOOKUP($F31,$K$2:AJ$8,V$1,"Falsch"),"")</f>
        <v/>
      </c>
      <c r="W31" s="16" t="str">
        <f>IF(AND(W$10&gt;=$D31,W$11&lt;=$E31),VLOOKUP($F31,$K$2:AK$8,W$1,"Falsch"),"")</f>
        <v/>
      </c>
      <c r="X31" s="16" t="str">
        <f>IF(AND(X$10&gt;=$D31,X$11&lt;=$E31),VLOOKUP($F31,$K$2:AL$8,X$1,"Falsch"),"")</f>
        <v/>
      </c>
      <c r="Y31" s="16" t="str">
        <f>IF(AND(Y$10&gt;=$D31,Y$11&lt;=$E31),VLOOKUP($F31,$K$2:AM$8,Y$1,"Falsch"),"")</f>
        <v/>
      </c>
      <c r="Z31" s="16" t="str">
        <f>IF(AND(Z$10&gt;=$D31,Z$11&lt;=$E31),VLOOKUP($F31,$K$2:AN$8,Z$1,"Falsch"),"")</f>
        <v/>
      </c>
      <c r="AA31" s="16" t="str">
        <f>IF(AND(AA$10&gt;=$D31,AA$11&lt;=$E31),VLOOKUP($F31,$K$2:AO$8,AA$1,"Falsch"),"")</f>
        <v/>
      </c>
      <c r="AB31" s="16" t="str">
        <f>IF(AND(AB$10&gt;=$D31,AB$11&lt;=$E31),VLOOKUP($F31,$K$2:AP$8,AB$1,"Falsch"),"")</f>
        <v/>
      </c>
      <c r="AC31" s="16" t="str">
        <f>IF(AND(AC$10&gt;=$D31,AC$11&lt;=$E31),VLOOKUP($F31,$K$2:AQ$8,AC$1,"Falsch"),"")</f>
        <v/>
      </c>
      <c r="AD31" s="16" t="str">
        <f>IF(AND(AD$10&gt;=$D31,AD$11&lt;=$E31),VLOOKUP($F31,$K$2:AR$8,AD$1,"Falsch"),"")</f>
        <v/>
      </c>
    </row>
    <row r="32" spans="1:53" x14ac:dyDescent="0.25">
      <c r="I32" s="21">
        <f t="shared" si="8"/>
        <v>0</v>
      </c>
      <c r="K32" s="25">
        <f t="shared" si="9"/>
        <v>0</v>
      </c>
      <c r="L32" s="16" t="str">
        <f>IF(AND(L$10&gt;=$D32,L$11&lt;=$E32),VLOOKUP($F32,$K$2:Z$8,L$1,"Falsch"),"")</f>
        <v/>
      </c>
      <c r="M32" s="16" t="str">
        <f>IF(AND(M$10&gt;=$D32,M$11&lt;=$E32),VLOOKUP($F32,$K$2:AA$8,M$1,"Falsch"),"")</f>
        <v/>
      </c>
      <c r="N32" s="16" t="str">
        <f>IF(AND(N$10&gt;=$D32,N$11&lt;=$E32),VLOOKUP($F32,$K$2:AB$8,N$1,"Falsch"),"")</f>
        <v/>
      </c>
      <c r="O32" s="16" t="str">
        <f>IF(AND(O$10&gt;=$D32,O$11&lt;=$E32),VLOOKUP($F32,$K$2:AC$8,O$1,"Falsch"),"")</f>
        <v/>
      </c>
      <c r="P32" s="16" t="str">
        <f>IF(AND(P$10&gt;=$D32,P$11&lt;=$E32),VLOOKUP($F32,$K$2:AD$8,P$1,"Falsch"),"")</f>
        <v/>
      </c>
      <c r="Q32" s="16" t="str">
        <f>IF(AND(Q$10&gt;=$D32,Q$11&lt;=$E32),VLOOKUP($F32,$K$2:AE$8,Q$1,"Falsch"),"")</f>
        <v/>
      </c>
      <c r="R32" s="16" t="str">
        <f>IF(AND(R$10&gt;=$D32,R$11&lt;=$E32),VLOOKUP($F32,$K$2:AF$8,R$1,"Falsch"),"")</f>
        <v/>
      </c>
      <c r="S32" s="16" t="str">
        <f>IF(AND(S$10&gt;=$D32,S$11&lt;=$E32),VLOOKUP($F32,$K$2:AG$8,S$1,"Falsch"),"")</f>
        <v/>
      </c>
      <c r="T32" s="16" t="str">
        <f>IF(AND(T$10&gt;=$D32,T$11&lt;=$E32),VLOOKUP($F32,$K$2:AH$8,T$1,"Falsch"),"")</f>
        <v/>
      </c>
      <c r="U32" s="16" t="str">
        <f>IF(AND(U$10&gt;=$D32,U$11&lt;=$E32),VLOOKUP($F32,$K$2:AI$8,U$1,"Falsch"),"")</f>
        <v/>
      </c>
      <c r="V32" s="16" t="str">
        <f>IF(AND(V$10&gt;=$D32,V$11&lt;=$E32),VLOOKUP($F32,$K$2:AJ$8,V$1,"Falsch"),"")</f>
        <v/>
      </c>
      <c r="W32" s="16" t="str">
        <f>IF(AND(W$10&gt;=$D32,W$11&lt;=$E32),VLOOKUP($F32,$K$2:AK$8,W$1,"Falsch"),"")</f>
        <v/>
      </c>
      <c r="X32" s="16" t="str">
        <f>IF(AND(X$10&gt;=$D32,X$11&lt;=$E32),VLOOKUP($F32,$K$2:AL$8,X$1,"Falsch"),"")</f>
        <v/>
      </c>
      <c r="Y32" s="16" t="str">
        <f>IF(AND(Y$10&gt;=$D32,Y$11&lt;=$E32),VLOOKUP($F32,$K$2:AM$8,Y$1,"Falsch"),"")</f>
        <v/>
      </c>
      <c r="Z32" s="16" t="str">
        <f>IF(AND(Z$10&gt;=$D32,Z$11&lt;=$E32),VLOOKUP($F32,$K$2:AN$8,Z$1,"Falsch"),"")</f>
        <v/>
      </c>
      <c r="AA32" s="16" t="str">
        <f>IF(AND(AA$10&gt;=$D32,AA$11&lt;=$E32),VLOOKUP($F32,$K$2:AO$8,AA$1,"Falsch"),"")</f>
        <v/>
      </c>
      <c r="AB32" s="16" t="str">
        <f>IF(AND(AB$10&gt;=$D32,AB$11&lt;=$E32),VLOOKUP($F32,$K$2:AP$8,AB$1,"Falsch"),"")</f>
        <v/>
      </c>
      <c r="AC32" s="16" t="str">
        <f>IF(AND(AC$10&gt;=$D32,AC$11&lt;=$E32),VLOOKUP($F32,$K$2:AQ$8,AC$1,"Falsch"),"")</f>
        <v/>
      </c>
      <c r="AD32" s="16" t="str">
        <f>IF(AND(AD$10&gt;=$D32,AD$11&lt;=$E32),VLOOKUP($F32,$K$2:AR$8,AD$1,"Falsch"),"")</f>
        <v/>
      </c>
    </row>
    <row r="33" spans="9:30" x14ac:dyDescent="0.25">
      <c r="I33" s="21">
        <f t="shared" si="8"/>
        <v>0</v>
      </c>
      <c r="K33" s="25">
        <f t="shared" si="9"/>
        <v>0</v>
      </c>
      <c r="L33" s="16" t="str">
        <f>IF(AND(L$10&gt;=$D33,L$11&lt;=$E33),VLOOKUP($F33,$K$2:Z$8,L$1,"Falsch"),"")</f>
        <v/>
      </c>
      <c r="M33" s="16" t="str">
        <f>IF(AND(M$10&gt;=$D33,M$11&lt;=$E33),VLOOKUP($F33,$K$2:AA$8,M$1,"Falsch"),"")</f>
        <v/>
      </c>
      <c r="N33" s="16" t="str">
        <f>IF(AND(N$10&gt;=$D33,N$11&lt;=$E33),VLOOKUP($F33,$K$2:AB$8,N$1,"Falsch"),"")</f>
        <v/>
      </c>
      <c r="O33" s="16" t="str">
        <f>IF(AND(O$10&gt;=$D33,O$11&lt;=$E33),VLOOKUP($F33,$K$2:AC$8,O$1,"Falsch"),"")</f>
        <v/>
      </c>
      <c r="P33" s="16" t="str">
        <f>IF(AND(P$10&gt;=$D33,P$11&lt;=$E33),VLOOKUP($F33,$K$2:AD$8,P$1,"Falsch"),"")</f>
        <v/>
      </c>
      <c r="Q33" s="16" t="str">
        <f>IF(AND(Q$10&gt;=$D33,Q$11&lt;=$E33),VLOOKUP($F33,$K$2:AE$8,Q$1,"Falsch"),"")</f>
        <v/>
      </c>
      <c r="R33" s="16" t="str">
        <f>IF(AND(R$10&gt;=$D33,R$11&lt;=$E33),VLOOKUP($F33,$K$2:AF$8,R$1,"Falsch"),"")</f>
        <v/>
      </c>
      <c r="S33" s="16" t="str">
        <f>IF(AND(S$10&gt;=$D33,S$11&lt;=$E33),VLOOKUP($F33,$K$2:AG$8,S$1,"Falsch"),"")</f>
        <v/>
      </c>
      <c r="T33" s="16" t="str">
        <f>IF(AND(T$10&gt;=$D33,T$11&lt;=$E33),VLOOKUP($F33,$K$2:AH$8,T$1,"Falsch"),"")</f>
        <v/>
      </c>
      <c r="U33" s="16" t="str">
        <f>IF(AND(U$10&gt;=$D33,U$11&lt;=$E33),VLOOKUP($F33,$K$2:AI$8,U$1,"Falsch"),"")</f>
        <v/>
      </c>
      <c r="V33" s="16" t="str">
        <f>IF(AND(V$10&gt;=$D33,V$11&lt;=$E33),VLOOKUP($F33,$K$2:AJ$8,V$1,"Falsch"),"")</f>
        <v/>
      </c>
      <c r="W33" s="16" t="str">
        <f>IF(AND(W$10&gt;=$D33,W$11&lt;=$E33),VLOOKUP($F33,$K$2:AK$8,W$1,"Falsch"),"")</f>
        <v/>
      </c>
      <c r="X33" s="16" t="str">
        <f>IF(AND(X$10&gt;=$D33,X$11&lt;=$E33),VLOOKUP($F33,$K$2:AL$8,X$1,"Falsch"),"")</f>
        <v/>
      </c>
      <c r="Y33" s="16" t="str">
        <f>IF(AND(Y$10&gt;=$D33,Y$11&lt;=$E33),VLOOKUP($F33,$K$2:AM$8,Y$1,"Falsch"),"")</f>
        <v/>
      </c>
      <c r="Z33" s="16" t="str">
        <f>IF(AND(Z$10&gt;=$D33,Z$11&lt;=$E33),VLOOKUP($F33,$K$2:AN$8,Z$1,"Falsch"),"")</f>
        <v/>
      </c>
      <c r="AA33" s="16" t="str">
        <f>IF(AND(AA$10&gt;=$D33,AA$11&lt;=$E33),VLOOKUP($F33,$K$2:AO$8,AA$1,"Falsch"),"")</f>
        <v/>
      </c>
      <c r="AB33" s="16" t="str">
        <f>IF(AND(AB$10&gt;=$D33,AB$11&lt;=$E33),VLOOKUP($F33,$K$2:AP$8,AB$1,"Falsch"),"")</f>
        <v/>
      </c>
      <c r="AC33" s="16" t="str">
        <f>IF(AND(AC$10&gt;=$D33,AC$11&lt;=$E33),VLOOKUP($F33,$K$2:AQ$8,AC$1,"Falsch"),"")</f>
        <v/>
      </c>
      <c r="AD33" s="16" t="str">
        <f>IF(AND(AD$10&gt;=$D33,AD$11&lt;=$E33),VLOOKUP($F33,$K$2:AR$8,AD$1,"Falsch"),"")</f>
        <v/>
      </c>
    </row>
    <row r="34" spans="9:30" x14ac:dyDescent="0.25">
      <c r="I34" s="21">
        <f t="shared" si="8"/>
        <v>0</v>
      </c>
      <c r="K34" s="25">
        <f t="shared" si="9"/>
        <v>0</v>
      </c>
      <c r="L34" s="16" t="str">
        <f>IF(AND(L$10&gt;=$D34,L$11&lt;=$E34),VLOOKUP($F34,$K$2:Z$8,L$1,"Falsch"),"")</f>
        <v/>
      </c>
      <c r="M34" s="16" t="str">
        <f>IF(AND(M$10&gt;=$D34,M$11&lt;=$E34),VLOOKUP($F34,$K$2:AA$8,M$1,"Falsch"),"")</f>
        <v/>
      </c>
      <c r="N34" s="16" t="str">
        <f>IF(AND(N$10&gt;=$D34,N$11&lt;=$E34),VLOOKUP($F34,$K$2:AB$8,N$1,"Falsch"),"")</f>
        <v/>
      </c>
      <c r="O34" s="16" t="str">
        <f>IF(AND(O$10&gt;=$D34,O$11&lt;=$E34),VLOOKUP($F34,$K$2:AC$8,O$1,"Falsch"),"")</f>
        <v/>
      </c>
      <c r="P34" s="16" t="str">
        <f>IF(AND(P$10&gt;=$D34,P$11&lt;=$E34),VLOOKUP($F34,$K$2:AD$8,P$1,"Falsch"),"")</f>
        <v/>
      </c>
      <c r="Q34" s="16" t="str">
        <f>IF(AND(Q$10&gt;=$D34,Q$11&lt;=$E34),VLOOKUP($F34,$K$2:AE$8,Q$1,"Falsch"),"")</f>
        <v/>
      </c>
      <c r="R34" s="16" t="str">
        <f>IF(AND(R$10&gt;=$D34,R$11&lt;=$E34),VLOOKUP($F34,$K$2:AF$8,R$1,"Falsch"),"")</f>
        <v/>
      </c>
      <c r="S34" s="16" t="str">
        <f>IF(AND(S$10&gt;=$D34,S$11&lt;=$E34),VLOOKUP($F34,$K$2:AG$8,S$1,"Falsch"),"")</f>
        <v/>
      </c>
      <c r="T34" s="16" t="str">
        <f>IF(AND(T$10&gt;=$D34,T$11&lt;=$E34),VLOOKUP($F34,$K$2:AH$8,T$1,"Falsch"),"")</f>
        <v/>
      </c>
      <c r="U34" s="16" t="str">
        <f>IF(AND(U$10&gt;=$D34,U$11&lt;=$E34),VLOOKUP($F34,$K$2:AI$8,U$1,"Falsch"),"")</f>
        <v/>
      </c>
      <c r="V34" s="16" t="str">
        <f>IF(AND(V$10&gt;=$D34,V$11&lt;=$E34),VLOOKUP($F34,$K$2:AJ$8,V$1,"Falsch"),"")</f>
        <v/>
      </c>
      <c r="W34" s="16" t="str">
        <f>IF(AND(W$10&gt;=$D34,W$11&lt;=$E34),VLOOKUP($F34,$K$2:AK$8,W$1,"Falsch"),"")</f>
        <v/>
      </c>
      <c r="X34" s="16" t="str">
        <f>IF(AND(X$10&gt;=$D34,X$11&lt;=$E34),VLOOKUP($F34,$K$2:AL$8,X$1,"Falsch"),"")</f>
        <v/>
      </c>
      <c r="Y34" s="16" t="str">
        <f>IF(AND(Y$10&gt;=$D34,Y$11&lt;=$E34),VLOOKUP($F34,$K$2:AM$8,Y$1,"Falsch"),"")</f>
        <v/>
      </c>
      <c r="Z34" s="16" t="str">
        <f>IF(AND(Z$10&gt;=$D34,Z$11&lt;=$E34),VLOOKUP($F34,$K$2:AN$8,Z$1,"Falsch"),"")</f>
        <v/>
      </c>
      <c r="AA34" s="16" t="str">
        <f>IF(AND(AA$10&gt;=$D34,AA$11&lt;=$E34),VLOOKUP($F34,$K$2:AO$8,AA$1,"Falsch"),"")</f>
        <v/>
      </c>
      <c r="AB34" s="16" t="str">
        <f>IF(AND(AB$10&gt;=$D34,AB$11&lt;=$E34),VLOOKUP($F34,$K$2:AP$8,AB$1,"Falsch"),"")</f>
        <v/>
      </c>
      <c r="AC34" s="16" t="str">
        <f>IF(AND(AC$10&gt;=$D34,AC$11&lt;=$E34),VLOOKUP($F34,$K$2:AQ$8,AC$1,"Falsch"),"")</f>
        <v/>
      </c>
      <c r="AD34" s="16" t="str">
        <f>IF(AND(AD$10&gt;=$D34,AD$11&lt;=$E34),VLOOKUP($F34,$K$2:AR$8,AD$1,"Falsch"),"")</f>
        <v/>
      </c>
    </row>
    <row r="35" spans="9:30" x14ac:dyDescent="0.25">
      <c r="I35" s="21">
        <f t="shared" si="8"/>
        <v>0</v>
      </c>
      <c r="K35" s="25">
        <f t="shared" si="9"/>
        <v>0</v>
      </c>
      <c r="L35" s="16" t="str">
        <f>IF(AND(L$10&gt;=$D35,L$11&lt;=$E35),VLOOKUP($F35,$K$2:Z$8,L$1,"Falsch"),"")</f>
        <v/>
      </c>
      <c r="M35" s="16" t="str">
        <f>IF(AND(M$10&gt;=$D35,M$11&lt;=$E35),VLOOKUP($F35,$K$2:AA$8,M$1,"Falsch"),"")</f>
        <v/>
      </c>
      <c r="N35" s="16" t="str">
        <f>IF(AND(N$10&gt;=$D35,N$11&lt;=$E35),VLOOKUP($F35,$K$2:AB$8,N$1,"Falsch"),"")</f>
        <v/>
      </c>
      <c r="O35" s="16" t="str">
        <f>IF(AND(O$10&gt;=$D35,O$11&lt;=$E35),VLOOKUP($F35,$K$2:AC$8,O$1,"Falsch"),"")</f>
        <v/>
      </c>
      <c r="P35" s="16" t="str">
        <f>IF(AND(P$10&gt;=$D35,P$11&lt;=$E35),VLOOKUP($F35,$K$2:AD$8,P$1,"Falsch"),"")</f>
        <v/>
      </c>
      <c r="Q35" s="16" t="str">
        <f>IF(AND(Q$10&gt;=$D35,Q$11&lt;=$E35),VLOOKUP($F35,$K$2:AE$8,Q$1,"Falsch"),"")</f>
        <v/>
      </c>
      <c r="R35" s="16" t="str">
        <f>IF(AND(R$10&gt;=$D35,R$11&lt;=$E35),VLOOKUP($F35,$K$2:AF$8,R$1,"Falsch"),"")</f>
        <v/>
      </c>
      <c r="S35" s="16" t="str">
        <f>IF(AND(S$10&gt;=$D35,S$11&lt;=$E35),VLOOKUP($F35,$K$2:AG$8,S$1,"Falsch"),"")</f>
        <v/>
      </c>
      <c r="T35" s="16" t="str">
        <f>IF(AND(T$10&gt;=$D35,T$11&lt;=$E35),VLOOKUP($F35,$K$2:AH$8,T$1,"Falsch"),"")</f>
        <v/>
      </c>
      <c r="U35" s="16" t="str">
        <f>IF(AND(U$10&gt;=$D35,U$11&lt;=$E35),VLOOKUP($F35,$K$2:AI$8,U$1,"Falsch"),"")</f>
        <v/>
      </c>
      <c r="V35" s="16" t="str">
        <f>IF(AND(V$10&gt;=$D35,V$11&lt;=$E35),VLOOKUP($F35,$K$2:AJ$8,V$1,"Falsch"),"")</f>
        <v/>
      </c>
      <c r="W35" s="16" t="str">
        <f>IF(AND(W$10&gt;=$D35,W$11&lt;=$E35),VLOOKUP($F35,$K$2:AK$8,W$1,"Falsch"),"")</f>
        <v/>
      </c>
      <c r="X35" s="16" t="str">
        <f>IF(AND(X$10&gt;=$D35,X$11&lt;=$E35),VLOOKUP($F35,$K$2:AL$8,X$1,"Falsch"),"")</f>
        <v/>
      </c>
      <c r="Y35" s="16" t="str">
        <f>IF(AND(Y$10&gt;=$D35,Y$11&lt;=$E35),VLOOKUP($F35,$K$2:AM$8,Y$1,"Falsch"),"")</f>
        <v/>
      </c>
      <c r="Z35" s="16" t="str">
        <f>IF(AND(Z$10&gt;=$D35,Z$11&lt;=$E35),VLOOKUP($F35,$K$2:AN$8,Z$1,"Falsch"),"")</f>
        <v/>
      </c>
      <c r="AA35" s="16" t="str">
        <f>IF(AND(AA$10&gt;=$D35,AA$11&lt;=$E35),VLOOKUP($F35,$K$2:AO$8,AA$1,"Falsch"),"")</f>
        <v/>
      </c>
      <c r="AB35" s="16" t="str">
        <f>IF(AND(AB$10&gt;=$D35,AB$11&lt;=$E35),VLOOKUP($F35,$K$2:AP$8,AB$1,"Falsch"),"")</f>
        <v/>
      </c>
      <c r="AC35" s="16" t="str">
        <f>IF(AND(AC$10&gt;=$D35,AC$11&lt;=$E35),VLOOKUP($F35,$K$2:AQ$8,AC$1,"Falsch"),"")</f>
        <v/>
      </c>
      <c r="AD35" s="16" t="str">
        <f>IF(AND(AD$10&gt;=$D35,AD$11&lt;=$E35),VLOOKUP($F35,$K$2:AR$8,AD$1,"Falsch"),"")</f>
        <v/>
      </c>
    </row>
    <row r="36" spans="9:30" x14ac:dyDescent="0.25">
      <c r="I36" s="21">
        <f t="shared" si="8"/>
        <v>0</v>
      </c>
      <c r="K36" s="25">
        <f t="shared" si="9"/>
        <v>0</v>
      </c>
      <c r="L36" s="16" t="str">
        <f>IF(AND(L$10&gt;=$D36,L$11&lt;=$E36),VLOOKUP($F36,$K$2:Z$8,L$1,"Falsch"),"")</f>
        <v/>
      </c>
      <c r="M36" s="16" t="str">
        <f>IF(AND(M$10&gt;=$D36,M$11&lt;=$E36),VLOOKUP($F36,$K$2:AA$8,M$1,"Falsch"),"")</f>
        <v/>
      </c>
      <c r="N36" s="16" t="str">
        <f>IF(AND(N$10&gt;=$D36,N$11&lt;=$E36),VLOOKUP($F36,$K$2:AB$8,N$1,"Falsch"),"")</f>
        <v/>
      </c>
      <c r="O36" s="16" t="str">
        <f>IF(AND(O$10&gt;=$D36,O$11&lt;=$E36),VLOOKUP($F36,$K$2:AC$8,O$1,"Falsch"),"")</f>
        <v/>
      </c>
      <c r="P36" s="16" t="str">
        <f>IF(AND(P$10&gt;=$D36,P$11&lt;=$E36),VLOOKUP($F36,$K$2:AD$8,P$1,"Falsch"),"")</f>
        <v/>
      </c>
      <c r="Q36" s="16" t="str">
        <f>IF(AND(Q$10&gt;=$D36,Q$11&lt;=$E36),VLOOKUP($F36,$K$2:AE$8,Q$1,"Falsch"),"")</f>
        <v/>
      </c>
      <c r="R36" s="16" t="str">
        <f>IF(AND(R$10&gt;=$D36,R$11&lt;=$E36),VLOOKUP($F36,$K$2:AF$8,R$1,"Falsch"),"")</f>
        <v/>
      </c>
      <c r="S36" s="16" t="str">
        <f>IF(AND(S$10&gt;=$D36,S$11&lt;=$E36),VLOOKUP($F36,$K$2:AG$8,S$1,"Falsch"),"")</f>
        <v/>
      </c>
      <c r="T36" s="16" t="str">
        <f>IF(AND(T$10&gt;=$D36,T$11&lt;=$E36),VLOOKUP($F36,$K$2:AH$8,T$1,"Falsch"),"")</f>
        <v/>
      </c>
      <c r="U36" s="16" t="str">
        <f>IF(AND(U$10&gt;=$D36,U$11&lt;=$E36),VLOOKUP($F36,$K$2:AI$8,U$1,"Falsch"),"")</f>
        <v/>
      </c>
      <c r="V36" s="16" t="str">
        <f>IF(AND(V$10&gt;=$D36,V$11&lt;=$E36),VLOOKUP($F36,$K$2:AJ$8,V$1,"Falsch"),"")</f>
        <v/>
      </c>
      <c r="W36" s="16" t="str">
        <f>IF(AND(W$10&gt;=$D36,W$11&lt;=$E36),VLOOKUP($F36,$K$2:AK$8,W$1,"Falsch"),"")</f>
        <v/>
      </c>
      <c r="X36" s="16" t="str">
        <f>IF(AND(X$10&gt;=$D36,X$11&lt;=$E36),VLOOKUP($F36,$K$2:AL$8,X$1,"Falsch"),"")</f>
        <v/>
      </c>
      <c r="Y36" s="16" t="str">
        <f>IF(AND(Y$10&gt;=$D36,Y$11&lt;=$E36),VLOOKUP($F36,$K$2:AM$8,Y$1,"Falsch"),"")</f>
        <v/>
      </c>
      <c r="Z36" s="16" t="str">
        <f>IF(AND(Z$10&gt;=$D36,Z$11&lt;=$E36),VLOOKUP($F36,$K$2:AN$8,Z$1,"Falsch"),"")</f>
        <v/>
      </c>
      <c r="AA36" s="16" t="str">
        <f>IF(AND(AA$10&gt;=$D36,AA$11&lt;=$E36),VLOOKUP($F36,$K$2:AO$8,AA$1,"Falsch"),"")</f>
        <v/>
      </c>
      <c r="AB36" s="16" t="str">
        <f>IF(AND(AB$10&gt;=$D36,AB$11&lt;=$E36),VLOOKUP($F36,$K$2:AP$8,AB$1,"Falsch"),"")</f>
        <v/>
      </c>
      <c r="AC36" s="16" t="str">
        <f>IF(AND(AC$10&gt;=$D36,AC$11&lt;=$E36),VLOOKUP($F36,$K$2:AQ$8,AC$1,"Falsch"),"")</f>
        <v/>
      </c>
      <c r="AD36" s="16" t="str">
        <f>IF(AND(AD$10&gt;=$D36,AD$11&lt;=$E36),VLOOKUP($F36,$K$2:AR$8,AD$1,"Falsch"),"")</f>
        <v/>
      </c>
    </row>
    <row r="37" spans="9:30" x14ac:dyDescent="0.25">
      <c r="I37" s="21">
        <f t="shared" si="8"/>
        <v>0</v>
      </c>
      <c r="K37" s="25">
        <f t="shared" si="9"/>
        <v>0</v>
      </c>
      <c r="L37" s="16" t="str">
        <f>IF(AND(L$10&gt;=$D37,L$11&lt;=$E37),VLOOKUP($F37,$K$2:Z$8,L$1,"Falsch"),"")</f>
        <v/>
      </c>
      <c r="M37" s="16" t="str">
        <f>IF(AND(M$10&gt;=$D37,M$11&lt;=$E37),VLOOKUP($F37,$K$2:AA$8,M$1,"Falsch"),"")</f>
        <v/>
      </c>
      <c r="N37" s="16" t="str">
        <f>IF(AND(N$10&gt;=$D37,N$11&lt;=$E37),VLOOKUP($F37,$K$2:AB$8,N$1,"Falsch"),"")</f>
        <v/>
      </c>
      <c r="O37" s="16" t="str">
        <f>IF(AND(O$10&gt;=$D37,O$11&lt;=$E37),VLOOKUP($F37,$K$2:AC$8,O$1,"Falsch"),"")</f>
        <v/>
      </c>
      <c r="P37" s="16" t="str">
        <f>IF(AND(P$10&gt;=$D37,P$11&lt;=$E37),VLOOKUP($F37,$K$2:AD$8,P$1,"Falsch"),"")</f>
        <v/>
      </c>
      <c r="Q37" s="16" t="str">
        <f>IF(AND(Q$10&gt;=$D37,Q$11&lt;=$E37),VLOOKUP($F37,$K$2:AE$8,Q$1,"Falsch"),"")</f>
        <v/>
      </c>
      <c r="R37" s="16" t="str">
        <f>IF(AND(R$10&gt;=$D37,R$11&lt;=$E37),VLOOKUP($F37,$K$2:AF$8,R$1,"Falsch"),"")</f>
        <v/>
      </c>
      <c r="S37" s="16" t="str">
        <f>IF(AND(S$10&gt;=$D37,S$11&lt;=$E37),VLOOKUP($F37,$K$2:AG$8,S$1,"Falsch"),"")</f>
        <v/>
      </c>
      <c r="T37" s="16" t="str">
        <f>IF(AND(T$10&gt;=$D37,T$11&lt;=$E37),VLOOKUP($F37,$K$2:AH$8,T$1,"Falsch"),"")</f>
        <v/>
      </c>
      <c r="U37" s="16" t="str">
        <f>IF(AND(U$10&gt;=$D37,U$11&lt;=$E37),VLOOKUP($F37,$K$2:AI$8,U$1,"Falsch"),"")</f>
        <v/>
      </c>
      <c r="V37" s="16" t="str">
        <f>IF(AND(V$10&gt;=$D37,V$11&lt;=$E37),VLOOKUP($F37,$K$2:AJ$8,V$1,"Falsch"),"")</f>
        <v/>
      </c>
      <c r="W37" s="16" t="str">
        <f>IF(AND(W$10&gt;=$D37,W$11&lt;=$E37),VLOOKUP($F37,$K$2:AK$8,W$1,"Falsch"),"")</f>
        <v/>
      </c>
      <c r="X37" s="16" t="str">
        <f>IF(AND(X$10&gt;=$D37,X$11&lt;=$E37),VLOOKUP($F37,$K$2:AL$8,X$1,"Falsch"),"")</f>
        <v/>
      </c>
      <c r="Y37" s="16" t="str">
        <f>IF(AND(Y$10&gt;=$D37,Y$11&lt;=$E37),VLOOKUP($F37,$K$2:AM$8,Y$1,"Falsch"),"")</f>
        <v/>
      </c>
      <c r="Z37" s="16" t="str">
        <f>IF(AND(Z$10&gt;=$D37,Z$11&lt;=$E37),VLOOKUP($F37,$K$2:AN$8,Z$1,"Falsch"),"")</f>
        <v/>
      </c>
      <c r="AA37" s="16" t="str">
        <f>IF(AND(AA$10&gt;=$D37,AA$11&lt;=$E37),VLOOKUP($F37,$K$2:AO$8,AA$1,"Falsch"),"")</f>
        <v/>
      </c>
      <c r="AB37" s="16" t="str">
        <f>IF(AND(AB$10&gt;=$D37,AB$11&lt;=$E37),VLOOKUP($F37,$K$2:AP$8,AB$1,"Falsch"),"")</f>
        <v/>
      </c>
      <c r="AC37" s="16" t="str">
        <f>IF(AND(AC$10&gt;=$D37,AC$11&lt;=$E37),VLOOKUP($F37,$K$2:AQ$8,AC$1,"Falsch"),"")</f>
        <v/>
      </c>
      <c r="AD37" s="16" t="str">
        <f>IF(AND(AD$10&gt;=$D37,AD$11&lt;=$E37),VLOOKUP($F37,$K$2:AR$8,AD$1,"Falsch"),"")</f>
        <v/>
      </c>
    </row>
    <row r="38" spans="9:30" x14ac:dyDescent="0.25">
      <c r="I38" s="21">
        <f t="shared" si="8"/>
        <v>0</v>
      </c>
      <c r="K38" s="25">
        <f t="shared" si="9"/>
        <v>0</v>
      </c>
      <c r="L38" s="16" t="str">
        <f>IF(AND(L$10&gt;=$D38,L$11&lt;=$E38),VLOOKUP($F38,$K$2:Z$8,L$1,"Falsch"),"")</f>
        <v/>
      </c>
      <c r="M38" s="16" t="str">
        <f>IF(AND(M$10&gt;=$D38,M$11&lt;=$E38),VLOOKUP($F38,$K$2:AA$8,M$1,"Falsch"),"")</f>
        <v/>
      </c>
      <c r="N38" s="16" t="str">
        <f>IF(AND(N$10&gt;=$D38,N$11&lt;=$E38),VLOOKUP($F38,$K$2:AB$8,N$1,"Falsch"),"")</f>
        <v/>
      </c>
      <c r="O38" s="16" t="str">
        <f>IF(AND(O$10&gt;=$D38,O$11&lt;=$E38),VLOOKUP($F38,$K$2:AC$8,O$1,"Falsch"),"")</f>
        <v/>
      </c>
      <c r="P38" s="16" t="str">
        <f>IF(AND(P$10&gt;=$D38,P$11&lt;=$E38),VLOOKUP($F38,$K$2:AD$8,P$1,"Falsch"),"")</f>
        <v/>
      </c>
      <c r="Q38" s="16" t="str">
        <f>IF(AND(Q$10&gt;=$D38,Q$11&lt;=$E38),VLOOKUP($F38,$K$2:AE$8,Q$1,"Falsch"),"")</f>
        <v/>
      </c>
      <c r="R38" s="16" t="str">
        <f>IF(AND(R$10&gt;=$D38,R$11&lt;=$E38),VLOOKUP($F38,$K$2:AF$8,R$1,"Falsch"),"")</f>
        <v/>
      </c>
      <c r="S38" s="16" t="str">
        <f>IF(AND(S$10&gt;=$D38,S$11&lt;=$E38),VLOOKUP($F38,$K$2:AG$8,S$1,"Falsch"),"")</f>
        <v/>
      </c>
      <c r="T38" s="16" t="str">
        <f>IF(AND(T$10&gt;=$D38,T$11&lt;=$E38),VLOOKUP($F38,$K$2:AH$8,T$1,"Falsch"),"")</f>
        <v/>
      </c>
      <c r="U38" s="16" t="str">
        <f>IF(AND(U$10&gt;=$D38,U$11&lt;=$E38),VLOOKUP($F38,$K$2:AI$8,U$1,"Falsch"),"")</f>
        <v/>
      </c>
      <c r="V38" s="16" t="str">
        <f>IF(AND(V$10&gt;=$D38,V$11&lt;=$E38),VLOOKUP($F38,$K$2:AJ$8,V$1,"Falsch"),"")</f>
        <v/>
      </c>
      <c r="W38" s="16" t="str">
        <f>IF(AND(W$10&gt;=$D38,W$11&lt;=$E38),VLOOKUP($F38,$K$2:AK$8,W$1,"Falsch"),"")</f>
        <v/>
      </c>
      <c r="X38" s="16" t="str">
        <f>IF(AND(X$10&gt;=$D38,X$11&lt;=$E38),VLOOKUP($F38,$K$2:AL$8,X$1,"Falsch"),"")</f>
        <v/>
      </c>
      <c r="Y38" s="16" t="str">
        <f>IF(AND(Y$10&gt;=$D38,Y$11&lt;=$E38),VLOOKUP($F38,$K$2:AM$8,Y$1,"Falsch"),"")</f>
        <v/>
      </c>
      <c r="Z38" s="16" t="str">
        <f>IF(AND(Z$10&gt;=$D38,Z$11&lt;=$E38),VLOOKUP($F38,$K$2:AN$8,Z$1,"Falsch"),"")</f>
        <v/>
      </c>
      <c r="AA38" s="16" t="str">
        <f>IF(AND(AA$10&gt;=$D38,AA$11&lt;=$E38),VLOOKUP($F38,$K$2:AO$8,AA$1,"Falsch"),"")</f>
        <v/>
      </c>
      <c r="AB38" s="16" t="str">
        <f>IF(AND(AB$10&gt;=$D38,AB$11&lt;=$E38),VLOOKUP($F38,$K$2:AP$8,AB$1,"Falsch"),"")</f>
        <v/>
      </c>
      <c r="AC38" s="16" t="str">
        <f>IF(AND(AC$10&gt;=$D38,AC$11&lt;=$E38),VLOOKUP($F38,$K$2:AQ$8,AC$1,"Falsch"),"")</f>
        <v/>
      </c>
      <c r="AD38" s="16" t="str">
        <f>IF(AND(AD$10&gt;=$D38,AD$11&lt;=$E38),VLOOKUP($F38,$K$2:AR$8,AD$1,"Falsch"),"")</f>
        <v/>
      </c>
    </row>
    <row r="39" spans="9:30" x14ac:dyDescent="0.25">
      <c r="I39" s="21">
        <f t="shared" si="8"/>
        <v>0</v>
      </c>
      <c r="K39" s="25">
        <f t="shared" si="9"/>
        <v>0</v>
      </c>
      <c r="L39" s="16" t="str">
        <f>IF(AND(L$10&gt;=$D39,L$11&lt;=$E39),VLOOKUP($F39,$K$2:Z$8,L$1,"Falsch"),"")</f>
        <v/>
      </c>
      <c r="M39" s="16" t="str">
        <f>IF(AND(M$10&gt;=$D39,M$11&lt;=$E39),VLOOKUP($F39,$K$2:AA$8,M$1,"Falsch"),"")</f>
        <v/>
      </c>
      <c r="N39" s="16" t="str">
        <f>IF(AND(N$10&gt;=$D39,N$11&lt;=$E39),VLOOKUP($F39,$K$2:AB$8,N$1,"Falsch"),"")</f>
        <v/>
      </c>
      <c r="O39" s="16" t="str">
        <f>IF(AND(O$10&gt;=$D39,O$11&lt;=$E39),VLOOKUP($F39,$K$2:AC$8,O$1,"Falsch"),"")</f>
        <v/>
      </c>
      <c r="P39" s="16" t="str">
        <f>IF(AND(P$10&gt;=$D39,P$11&lt;=$E39),VLOOKUP($F39,$K$2:AD$8,P$1,"Falsch"),"")</f>
        <v/>
      </c>
      <c r="Q39" s="16" t="str">
        <f>IF(AND(Q$10&gt;=$D39,Q$11&lt;=$E39),VLOOKUP($F39,$K$2:AE$8,Q$1,"Falsch"),"")</f>
        <v/>
      </c>
      <c r="R39" s="16" t="str">
        <f>IF(AND(R$10&gt;=$D39,R$11&lt;=$E39),VLOOKUP($F39,$K$2:AF$8,R$1,"Falsch"),"")</f>
        <v/>
      </c>
      <c r="S39" s="16" t="str">
        <f>IF(AND(S$10&gt;=$D39,S$11&lt;=$E39),VLOOKUP($F39,$K$2:AG$8,S$1,"Falsch"),"")</f>
        <v/>
      </c>
      <c r="T39" s="16" t="str">
        <f>IF(AND(T$10&gt;=$D39,T$11&lt;=$E39),VLOOKUP($F39,$K$2:AH$8,T$1,"Falsch"),"")</f>
        <v/>
      </c>
      <c r="U39" s="16" t="str">
        <f>IF(AND(U$10&gt;=$D39,U$11&lt;=$E39),VLOOKUP($F39,$K$2:AI$8,U$1,"Falsch"),"")</f>
        <v/>
      </c>
      <c r="V39" s="16" t="str">
        <f>IF(AND(V$10&gt;=$D39,V$11&lt;=$E39),VLOOKUP($F39,$K$2:AJ$8,V$1,"Falsch"),"")</f>
        <v/>
      </c>
      <c r="W39" s="16" t="str">
        <f>IF(AND(W$10&gt;=$D39,W$11&lt;=$E39),VLOOKUP($F39,$K$2:AK$8,W$1,"Falsch"),"")</f>
        <v/>
      </c>
      <c r="X39" s="16" t="str">
        <f>IF(AND(X$10&gt;=$D39,X$11&lt;=$E39),VLOOKUP($F39,$K$2:AL$8,X$1,"Falsch"),"")</f>
        <v/>
      </c>
      <c r="Y39" s="16" t="str">
        <f>IF(AND(Y$10&gt;=$D39,Y$11&lt;=$E39),VLOOKUP($F39,$K$2:AM$8,Y$1,"Falsch"),"")</f>
        <v/>
      </c>
      <c r="Z39" s="16" t="str">
        <f>IF(AND(Z$10&gt;=$D39,Z$11&lt;=$E39),VLOOKUP($F39,$K$2:AN$8,Z$1,"Falsch"),"")</f>
        <v/>
      </c>
      <c r="AA39" s="16" t="str">
        <f>IF(AND(AA$10&gt;=$D39,AA$11&lt;=$E39),VLOOKUP($F39,$K$2:AO$8,AA$1,"Falsch"),"")</f>
        <v/>
      </c>
      <c r="AB39" s="16" t="str">
        <f>IF(AND(AB$10&gt;=$D39,AB$11&lt;=$E39),VLOOKUP($F39,$K$2:AP$8,AB$1,"Falsch"),"")</f>
        <v/>
      </c>
      <c r="AC39" s="16" t="str">
        <f>IF(AND(AC$10&gt;=$D39,AC$11&lt;=$E39),VLOOKUP($F39,$K$2:AQ$8,AC$1,"Falsch"),"")</f>
        <v/>
      </c>
      <c r="AD39" s="16" t="str">
        <f>IF(AND(AD$10&gt;=$D39,AD$11&lt;=$E39),VLOOKUP($F39,$K$2:AR$8,AD$1,"Falsch"),"")</f>
        <v/>
      </c>
    </row>
    <row r="40" spans="9:30" x14ac:dyDescent="0.25">
      <c r="I40" s="21">
        <f t="shared" si="8"/>
        <v>0</v>
      </c>
      <c r="K40" s="25">
        <f t="shared" si="9"/>
        <v>0</v>
      </c>
      <c r="L40" s="16" t="str">
        <f>IF(AND(L$10&gt;=$D40,L$11&lt;=$E40),VLOOKUP($F40,$K$2:Z$8,L$1,"Falsch"),"")</f>
        <v/>
      </c>
      <c r="M40" s="16" t="str">
        <f>IF(AND(M$10&gt;=$D40,M$11&lt;=$E40),VLOOKUP($F40,$K$2:AA$8,M$1,"Falsch"),"")</f>
        <v/>
      </c>
      <c r="N40" s="16" t="str">
        <f>IF(AND(N$10&gt;=$D40,N$11&lt;=$E40),VLOOKUP($F40,$K$2:AB$8,N$1,"Falsch"),"")</f>
        <v/>
      </c>
      <c r="O40" s="16" t="str">
        <f>IF(AND(O$10&gt;=$D40,O$11&lt;=$E40),VLOOKUP($F40,$K$2:AC$8,O$1,"Falsch"),"")</f>
        <v/>
      </c>
      <c r="P40" s="16" t="str">
        <f>IF(AND(P$10&gt;=$D40,P$11&lt;=$E40),VLOOKUP($F40,$K$2:AD$8,P$1,"Falsch"),"")</f>
        <v/>
      </c>
      <c r="Q40" s="16" t="str">
        <f>IF(AND(Q$10&gt;=$D40,Q$11&lt;=$E40),VLOOKUP($F40,$K$2:AE$8,Q$1,"Falsch"),"")</f>
        <v/>
      </c>
      <c r="R40" s="16" t="str">
        <f>IF(AND(R$10&gt;=$D40,R$11&lt;=$E40),VLOOKUP($F40,$K$2:AF$8,R$1,"Falsch"),"")</f>
        <v/>
      </c>
      <c r="S40" s="16" t="str">
        <f>IF(AND(S$10&gt;=$D40,S$11&lt;=$E40),VLOOKUP($F40,$K$2:AG$8,S$1,"Falsch"),"")</f>
        <v/>
      </c>
      <c r="T40" s="16" t="str">
        <f>IF(AND(T$10&gt;=$D40,T$11&lt;=$E40),VLOOKUP($F40,$K$2:AH$8,T$1,"Falsch"),"")</f>
        <v/>
      </c>
      <c r="U40" s="16" t="str">
        <f>IF(AND(U$10&gt;=$D40,U$11&lt;=$E40),VLOOKUP($F40,$K$2:AI$8,U$1,"Falsch"),"")</f>
        <v/>
      </c>
      <c r="V40" s="16" t="str">
        <f>IF(AND(V$10&gt;=$D40,V$11&lt;=$E40),VLOOKUP($F40,$K$2:AJ$8,V$1,"Falsch"),"")</f>
        <v/>
      </c>
      <c r="W40" s="16" t="str">
        <f>IF(AND(W$10&gt;=$D40,W$11&lt;=$E40),VLOOKUP($F40,$K$2:AK$8,W$1,"Falsch"),"")</f>
        <v/>
      </c>
      <c r="X40" s="16" t="str">
        <f>IF(AND(X$10&gt;=$D40,X$11&lt;=$E40),VLOOKUP($F40,$K$2:AL$8,X$1,"Falsch"),"")</f>
        <v/>
      </c>
      <c r="Y40" s="16" t="str">
        <f>IF(AND(Y$10&gt;=$D40,Y$11&lt;=$E40),VLOOKUP($F40,$K$2:AM$8,Y$1,"Falsch"),"")</f>
        <v/>
      </c>
      <c r="Z40" s="16" t="str">
        <f>IF(AND(Z$10&gt;=$D40,Z$11&lt;=$E40),VLOOKUP($F40,$K$2:AN$8,Z$1,"Falsch"),"")</f>
        <v/>
      </c>
      <c r="AA40" s="16" t="str">
        <f>IF(AND(AA$10&gt;=$D40,AA$11&lt;=$E40),VLOOKUP($F40,$K$2:AO$8,AA$1,"Falsch"),"")</f>
        <v/>
      </c>
      <c r="AB40" s="16" t="str">
        <f>IF(AND(AB$10&gt;=$D40,AB$11&lt;=$E40),VLOOKUP($F40,$K$2:AP$8,AB$1,"Falsch"),"")</f>
        <v/>
      </c>
      <c r="AC40" s="16" t="str">
        <f>IF(AND(AC$10&gt;=$D40,AC$11&lt;=$E40),VLOOKUP($F40,$K$2:AQ$8,AC$1,"Falsch"),"")</f>
        <v/>
      </c>
      <c r="AD40" s="16" t="str">
        <f>IF(AND(AD$10&gt;=$D40,AD$11&lt;=$E40),VLOOKUP($F40,$K$2:AR$8,AD$1,"Falsch"),"")</f>
        <v/>
      </c>
    </row>
    <row r="41" spans="9:30" x14ac:dyDescent="0.25">
      <c r="I41" s="21">
        <f t="shared" si="8"/>
        <v>0</v>
      </c>
      <c r="K41" s="25">
        <f t="shared" si="9"/>
        <v>0</v>
      </c>
      <c r="L41" s="16" t="str">
        <f>IF(AND(L$10&gt;=$D41,L$11&lt;=$E41),VLOOKUP($F41,$K$2:Z$8,L$1,"Falsch"),"")</f>
        <v/>
      </c>
      <c r="M41" s="16" t="str">
        <f>IF(AND(M$10&gt;=$D41,M$11&lt;=$E41),VLOOKUP($F41,$K$2:AA$8,M$1,"Falsch"),"")</f>
        <v/>
      </c>
      <c r="N41" s="16" t="str">
        <f>IF(AND(N$10&gt;=$D41,N$11&lt;=$E41),VLOOKUP($F41,$K$2:AB$8,N$1,"Falsch"),"")</f>
        <v/>
      </c>
      <c r="O41" s="16" t="str">
        <f>IF(AND(O$10&gt;=$D41,O$11&lt;=$E41),VLOOKUP($F41,$K$2:AC$8,O$1,"Falsch"),"")</f>
        <v/>
      </c>
      <c r="P41" s="16" t="str">
        <f>IF(AND(P$10&gt;=$D41,P$11&lt;=$E41),VLOOKUP($F41,$K$2:AD$8,P$1,"Falsch"),"")</f>
        <v/>
      </c>
      <c r="Q41" s="16" t="str">
        <f>IF(AND(Q$10&gt;=$D41,Q$11&lt;=$E41),VLOOKUP($F41,$K$2:AE$8,Q$1,"Falsch"),"")</f>
        <v/>
      </c>
      <c r="R41" s="16" t="str">
        <f>IF(AND(R$10&gt;=$D41,R$11&lt;=$E41),VLOOKUP($F41,$K$2:AF$8,R$1,"Falsch"),"")</f>
        <v/>
      </c>
      <c r="S41" s="16" t="str">
        <f>IF(AND(S$10&gt;=$D41,S$11&lt;=$E41),VLOOKUP($F41,$K$2:AG$8,S$1,"Falsch"),"")</f>
        <v/>
      </c>
      <c r="T41" s="16" t="str">
        <f>IF(AND(T$10&gt;=$D41,T$11&lt;=$E41),VLOOKUP($F41,$K$2:AH$8,T$1,"Falsch"),"")</f>
        <v/>
      </c>
      <c r="U41" s="16" t="str">
        <f>IF(AND(U$10&gt;=$D41,U$11&lt;=$E41),VLOOKUP($F41,$K$2:AI$8,U$1,"Falsch"),"")</f>
        <v/>
      </c>
      <c r="V41" s="16" t="str">
        <f>IF(AND(V$10&gt;=$D41,V$11&lt;=$E41),VLOOKUP($F41,$K$2:AJ$8,V$1,"Falsch"),"")</f>
        <v/>
      </c>
      <c r="W41" s="16" t="str">
        <f>IF(AND(W$10&gt;=$D41,W$11&lt;=$E41),VLOOKUP($F41,$K$2:AK$8,W$1,"Falsch"),"")</f>
        <v/>
      </c>
      <c r="X41" s="16" t="str">
        <f>IF(AND(X$10&gt;=$D41,X$11&lt;=$E41),VLOOKUP($F41,$K$2:AL$8,X$1,"Falsch"),"")</f>
        <v/>
      </c>
      <c r="Y41" s="16" t="str">
        <f>IF(AND(Y$10&gt;=$D41,Y$11&lt;=$E41),VLOOKUP($F41,$K$2:AM$8,Y$1,"Falsch"),"")</f>
        <v/>
      </c>
      <c r="Z41" s="16" t="str">
        <f>IF(AND(Z$10&gt;=$D41,Z$11&lt;=$E41),VLOOKUP($F41,$K$2:AN$8,Z$1,"Falsch"),"")</f>
        <v/>
      </c>
      <c r="AA41" s="16" t="str">
        <f>IF(AND(AA$10&gt;=$D41,AA$11&lt;=$E41),VLOOKUP($F41,$K$2:AO$8,AA$1,"Falsch"),"")</f>
        <v/>
      </c>
      <c r="AB41" s="16" t="str">
        <f>IF(AND(AB$10&gt;=$D41,AB$11&lt;=$E41),VLOOKUP($F41,$K$2:AP$8,AB$1,"Falsch"),"")</f>
        <v/>
      </c>
      <c r="AC41" s="16" t="str">
        <f>IF(AND(AC$10&gt;=$D41,AC$11&lt;=$E41),VLOOKUP($F41,$K$2:AQ$8,AC$1,"Falsch"),"")</f>
        <v/>
      </c>
      <c r="AD41" s="16" t="str">
        <f>IF(AND(AD$10&gt;=$D41,AD$11&lt;=$E41),VLOOKUP($F41,$K$2:AR$8,AD$1,"Falsch"),"")</f>
        <v/>
      </c>
    </row>
    <row r="42" spans="9:30" x14ac:dyDescent="0.25">
      <c r="I42" s="21">
        <f t="shared" si="8"/>
        <v>0</v>
      </c>
      <c r="K42" s="25">
        <f t="shared" si="9"/>
        <v>0</v>
      </c>
      <c r="L42" s="16" t="str">
        <f>IF(AND(L$10&gt;=$D42,L$11&lt;=$E42),VLOOKUP($F42,$K$2:Z$8,L$1,"Falsch"),"")</f>
        <v/>
      </c>
      <c r="M42" s="16" t="str">
        <f>IF(AND(M$10&gt;=$D42,M$11&lt;=$E42),VLOOKUP($F42,$K$2:AA$8,M$1,"Falsch"),"")</f>
        <v/>
      </c>
      <c r="N42" s="16" t="str">
        <f>IF(AND(N$10&gt;=$D42,N$11&lt;=$E42),VLOOKUP($F42,$K$2:AB$8,N$1,"Falsch"),"")</f>
        <v/>
      </c>
      <c r="O42" s="16" t="str">
        <f>IF(AND(O$10&gt;=$D42,O$11&lt;=$E42),VLOOKUP($F42,$K$2:AC$8,O$1,"Falsch"),"")</f>
        <v/>
      </c>
      <c r="P42" s="16" t="str">
        <f>IF(AND(P$10&gt;=$D42,P$11&lt;=$E42),VLOOKUP($F42,$K$2:AD$8,P$1,"Falsch"),"")</f>
        <v/>
      </c>
      <c r="Q42" s="16" t="str">
        <f>IF(AND(Q$10&gt;=$D42,Q$11&lt;=$E42),VLOOKUP($F42,$K$2:AE$8,Q$1,"Falsch"),"")</f>
        <v/>
      </c>
      <c r="R42" s="16" t="str">
        <f>IF(AND(R$10&gt;=$D42,R$11&lt;=$E42),VLOOKUP($F42,$K$2:AF$8,R$1,"Falsch"),"")</f>
        <v/>
      </c>
      <c r="S42" s="16" t="str">
        <f>IF(AND(S$10&gt;=$D42,S$11&lt;=$E42),VLOOKUP($F42,$K$2:AG$8,S$1,"Falsch"),"")</f>
        <v/>
      </c>
      <c r="T42" s="16" t="str">
        <f>IF(AND(T$10&gt;=$D42,T$11&lt;=$E42),VLOOKUP($F42,$K$2:AH$8,T$1,"Falsch"),"")</f>
        <v/>
      </c>
      <c r="U42" s="16" t="str">
        <f>IF(AND(U$10&gt;=$D42,U$11&lt;=$E42),VLOOKUP($F42,$K$2:AI$8,U$1,"Falsch"),"")</f>
        <v/>
      </c>
      <c r="V42" s="16" t="str">
        <f>IF(AND(V$10&gt;=$D42,V$11&lt;=$E42),VLOOKUP($F42,$K$2:AJ$8,V$1,"Falsch"),"")</f>
        <v/>
      </c>
      <c r="W42" s="16" t="str">
        <f>IF(AND(W$10&gt;=$D42,W$11&lt;=$E42),VLOOKUP($F42,$K$2:AK$8,W$1,"Falsch"),"")</f>
        <v/>
      </c>
      <c r="X42" s="16" t="str">
        <f>IF(AND(X$10&gt;=$D42,X$11&lt;=$E42),VLOOKUP($F42,$K$2:AL$8,X$1,"Falsch"),"")</f>
        <v/>
      </c>
      <c r="Y42" s="16" t="str">
        <f>IF(AND(Y$10&gt;=$D42,Y$11&lt;=$E42),VLOOKUP($F42,$K$2:AM$8,Y$1,"Falsch"),"")</f>
        <v/>
      </c>
      <c r="Z42" s="16" t="str">
        <f>IF(AND(Z$10&gt;=$D42,Z$11&lt;=$E42),VLOOKUP($F42,$K$2:AN$8,Z$1,"Falsch"),"")</f>
        <v/>
      </c>
      <c r="AA42" s="16" t="str">
        <f>IF(AND(AA$10&gt;=$D42,AA$11&lt;=$E42),VLOOKUP($F42,$K$2:AO$8,AA$1,"Falsch"),"")</f>
        <v/>
      </c>
      <c r="AB42" s="16" t="str">
        <f>IF(AND(AB$10&gt;=$D42,AB$11&lt;=$E42),VLOOKUP($F42,$K$2:AP$8,AB$1,"Falsch"),"")</f>
        <v/>
      </c>
      <c r="AC42" s="16" t="str">
        <f>IF(AND(AC$10&gt;=$D42,AC$11&lt;=$E42),VLOOKUP($F42,$K$2:AQ$8,AC$1,"Falsch"),"")</f>
        <v/>
      </c>
      <c r="AD42" s="16" t="str">
        <f>IF(AND(AD$10&gt;=$D42,AD$11&lt;=$E42),VLOOKUP($F42,$K$2:AR$8,AD$1,"Falsch"),"")</f>
        <v/>
      </c>
    </row>
    <row r="43" spans="9:30" x14ac:dyDescent="0.25">
      <c r="I43" s="21">
        <f t="shared" si="8"/>
        <v>0</v>
      </c>
      <c r="K43" s="25">
        <f t="shared" si="9"/>
        <v>0</v>
      </c>
      <c r="L43" s="16" t="str">
        <f>IF(AND(L$10&gt;=$D43,L$11&lt;=$E43),VLOOKUP($F43,$K$2:Z$8,L$1,"Falsch"),"")</f>
        <v/>
      </c>
      <c r="M43" s="16" t="str">
        <f>IF(AND(M$10&gt;=$D43,M$11&lt;=$E43),VLOOKUP($F43,$K$2:AA$8,M$1,"Falsch"),"")</f>
        <v/>
      </c>
      <c r="N43" s="16" t="str">
        <f>IF(AND(N$10&gt;=$D43,N$11&lt;=$E43),VLOOKUP($F43,$K$2:AB$8,N$1,"Falsch"),"")</f>
        <v/>
      </c>
      <c r="O43" s="16" t="str">
        <f>IF(AND(O$10&gt;=$D43,O$11&lt;=$E43),VLOOKUP($F43,$K$2:AC$8,O$1,"Falsch"),"")</f>
        <v/>
      </c>
      <c r="P43" s="16" t="str">
        <f>IF(AND(P$10&gt;=$D43,P$11&lt;=$E43),VLOOKUP($F43,$K$2:AD$8,P$1,"Falsch"),"")</f>
        <v/>
      </c>
      <c r="Q43" s="16" t="str">
        <f>IF(AND(Q$10&gt;=$D43,Q$11&lt;=$E43),VLOOKUP($F43,$K$2:AE$8,Q$1,"Falsch"),"")</f>
        <v/>
      </c>
      <c r="R43" s="16" t="str">
        <f>IF(AND(R$10&gt;=$D43,R$11&lt;=$E43),VLOOKUP($F43,$K$2:AF$8,R$1,"Falsch"),"")</f>
        <v/>
      </c>
      <c r="S43" s="16" t="str">
        <f>IF(AND(S$10&gt;=$D43,S$11&lt;=$E43),VLOOKUP($F43,$K$2:AG$8,S$1,"Falsch"),"")</f>
        <v/>
      </c>
      <c r="T43" s="16" t="str">
        <f>IF(AND(T$10&gt;=$D43,T$11&lt;=$E43),VLOOKUP($F43,$K$2:AH$8,T$1,"Falsch"),"")</f>
        <v/>
      </c>
      <c r="U43" s="16" t="str">
        <f>IF(AND(U$10&gt;=$D43,U$11&lt;=$E43),VLOOKUP($F43,$K$2:AI$8,U$1,"Falsch"),"")</f>
        <v/>
      </c>
      <c r="V43" s="16" t="str">
        <f>IF(AND(V$10&gt;=$D43,V$11&lt;=$E43),VLOOKUP($F43,$K$2:AJ$8,V$1,"Falsch"),"")</f>
        <v/>
      </c>
      <c r="W43" s="16" t="str">
        <f>IF(AND(W$10&gt;=$D43,W$11&lt;=$E43),VLOOKUP($F43,$K$2:AK$8,W$1,"Falsch"),"")</f>
        <v/>
      </c>
      <c r="X43" s="16" t="str">
        <f>IF(AND(X$10&gt;=$D43,X$11&lt;=$E43),VLOOKUP($F43,$K$2:AL$8,X$1,"Falsch"),"")</f>
        <v/>
      </c>
      <c r="Y43" s="16" t="str">
        <f>IF(AND(Y$10&gt;=$D43,Y$11&lt;=$E43),VLOOKUP($F43,$K$2:AM$8,Y$1,"Falsch"),"")</f>
        <v/>
      </c>
      <c r="Z43" s="16" t="str">
        <f>IF(AND(Z$10&gt;=$D43,Z$11&lt;=$E43),VLOOKUP($F43,$K$2:AN$8,Z$1,"Falsch"),"")</f>
        <v/>
      </c>
      <c r="AA43" s="16" t="str">
        <f>IF(AND(AA$10&gt;=$D43,AA$11&lt;=$E43),VLOOKUP($F43,$K$2:AO$8,AA$1,"Falsch"),"")</f>
        <v/>
      </c>
      <c r="AB43" s="16" t="str">
        <f>IF(AND(AB$10&gt;=$D43,AB$11&lt;=$E43),VLOOKUP($F43,$K$2:AP$8,AB$1,"Falsch"),"")</f>
        <v/>
      </c>
      <c r="AC43" s="16" t="str">
        <f>IF(AND(AC$10&gt;=$D43,AC$11&lt;=$E43),VLOOKUP($F43,$K$2:AQ$8,AC$1,"Falsch"),"")</f>
        <v/>
      </c>
      <c r="AD43" s="16" t="str">
        <f>IF(AND(AD$10&gt;=$D43,AD$11&lt;=$E43),VLOOKUP($F43,$K$2:AR$8,AD$1,"Falsch"),"")</f>
        <v/>
      </c>
    </row>
    <row r="44" spans="9:30" x14ac:dyDescent="0.25">
      <c r="I44" s="21">
        <f t="shared" si="8"/>
        <v>0</v>
      </c>
      <c r="K44" s="25">
        <f t="shared" si="9"/>
        <v>0</v>
      </c>
      <c r="L44" s="16" t="str">
        <f>IF(AND(L$10&gt;=$D44,L$11&lt;=$E44),VLOOKUP($F44,$K$2:Z$8,L$1,"Falsch"),"")</f>
        <v/>
      </c>
      <c r="M44" s="16" t="str">
        <f>IF(AND(M$10&gt;=$D44,M$11&lt;=$E44),VLOOKUP($F44,$K$2:AA$8,M$1,"Falsch"),"")</f>
        <v/>
      </c>
      <c r="N44" s="16" t="str">
        <f>IF(AND(N$10&gt;=$D44,N$11&lt;=$E44),VLOOKUP($F44,$K$2:AB$8,N$1,"Falsch"),"")</f>
        <v/>
      </c>
      <c r="O44" s="16" t="str">
        <f>IF(AND(O$10&gt;=$D44,O$11&lt;=$E44),VLOOKUP($F44,$K$2:AC$8,O$1,"Falsch"),"")</f>
        <v/>
      </c>
      <c r="P44" s="16" t="str">
        <f>IF(AND(P$10&gt;=$D44,P$11&lt;=$E44),VLOOKUP($F44,$K$2:AD$8,P$1,"Falsch"),"")</f>
        <v/>
      </c>
      <c r="Q44" s="16" t="str">
        <f>IF(AND(Q$10&gt;=$D44,Q$11&lt;=$E44),VLOOKUP($F44,$K$2:AE$8,Q$1,"Falsch"),"")</f>
        <v/>
      </c>
      <c r="R44" s="16" t="str">
        <f>IF(AND(R$10&gt;=$D44,R$11&lt;=$E44),VLOOKUP($F44,$K$2:AF$8,R$1,"Falsch"),"")</f>
        <v/>
      </c>
      <c r="S44" s="16" t="str">
        <f>IF(AND(S$10&gt;=$D44,S$11&lt;=$E44),VLOOKUP($F44,$K$2:AG$8,S$1,"Falsch"),"")</f>
        <v/>
      </c>
      <c r="T44" s="16" t="str">
        <f>IF(AND(T$10&gt;=$D44,T$11&lt;=$E44),VLOOKUP($F44,$K$2:AH$8,T$1,"Falsch"),"")</f>
        <v/>
      </c>
      <c r="U44" s="16" t="str">
        <f>IF(AND(U$10&gt;=$D44,U$11&lt;=$E44),VLOOKUP($F44,$K$2:AI$8,U$1,"Falsch"),"")</f>
        <v/>
      </c>
      <c r="V44" s="16" t="str">
        <f>IF(AND(V$10&gt;=$D44,V$11&lt;=$E44),VLOOKUP($F44,$K$2:AJ$8,V$1,"Falsch"),"")</f>
        <v/>
      </c>
      <c r="W44" s="16" t="str">
        <f>IF(AND(W$10&gt;=$D44,W$11&lt;=$E44),VLOOKUP($F44,$K$2:AK$8,W$1,"Falsch"),"")</f>
        <v/>
      </c>
      <c r="X44" s="16" t="str">
        <f>IF(AND(X$10&gt;=$D44,X$11&lt;=$E44),VLOOKUP($F44,$K$2:AL$8,X$1,"Falsch"),"")</f>
        <v/>
      </c>
      <c r="Y44" s="16" t="str">
        <f>IF(AND(Y$10&gt;=$D44,Y$11&lt;=$E44),VLOOKUP($F44,$K$2:AM$8,Y$1,"Falsch"),"")</f>
        <v/>
      </c>
      <c r="Z44" s="16" t="str">
        <f>IF(AND(Z$10&gt;=$D44,Z$11&lt;=$E44),VLOOKUP($F44,$K$2:AN$8,Z$1,"Falsch"),"")</f>
        <v/>
      </c>
      <c r="AA44" s="16" t="str">
        <f>IF(AND(AA$10&gt;=$D44,AA$11&lt;=$E44),VLOOKUP($F44,$K$2:AO$8,AA$1,"Falsch"),"")</f>
        <v/>
      </c>
      <c r="AB44" s="16" t="str">
        <f>IF(AND(AB$10&gt;=$D44,AB$11&lt;=$E44),VLOOKUP($F44,$K$2:AP$8,AB$1,"Falsch"),"")</f>
        <v/>
      </c>
      <c r="AC44" s="16" t="str">
        <f>IF(AND(AC$10&gt;=$D44,AC$11&lt;=$E44),VLOOKUP($F44,$K$2:AQ$8,AC$1,"Falsch"),"")</f>
        <v/>
      </c>
      <c r="AD44" s="16" t="str">
        <f>IF(AND(AD$10&gt;=$D44,AD$11&lt;=$E44),VLOOKUP($F44,$K$2:AR$8,AD$1,"Falsch"),"")</f>
        <v/>
      </c>
    </row>
    <row r="45" spans="9:30" x14ac:dyDescent="0.25">
      <c r="I45" s="21">
        <f t="shared" si="8"/>
        <v>0</v>
      </c>
      <c r="K45" s="25">
        <f t="shared" si="9"/>
        <v>0</v>
      </c>
      <c r="L45" s="16" t="str">
        <f>IF(AND(L$10&gt;=$D45,L$11&lt;=$E45),VLOOKUP($F45,$K$2:Z$8,L$1,"Falsch"),"")</f>
        <v/>
      </c>
      <c r="M45" s="16" t="str">
        <f>IF(AND(M$10&gt;=$D45,M$11&lt;=$E45),VLOOKUP($F45,$K$2:AA$8,M$1,"Falsch"),"")</f>
        <v/>
      </c>
      <c r="N45" s="16" t="str">
        <f>IF(AND(N$10&gt;=$D45,N$11&lt;=$E45),VLOOKUP($F45,$K$2:AB$8,N$1,"Falsch"),"")</f>
        <v/>
      </c>
      <c r="O45" s="16" t="str">
        <f>IF(AND(O$10&gt;=$D45,O$11&lt;=$E45),VLOOKUP($F45,$K$2:AC$8,O$1,"Falsch"),"")</f>
        <v/>
      </c>
      <c r="P45" s="16" t="str">
        <f>IF(AND(P$10&gt;=$D45,P$11&lt;=$E45),VLOOKUP($F45,$K$2:AD$8,P$1,"Falsch"),"")</f>
        <v/>
      </c>
      <c r="Q45" s="16" t="str">
        <f>IF(AND(Q$10&gt;=$D45,Q$11&lt;=$E45),VLOOKUP($F45,$K$2:AE$8,Q$1,"Falsch"),"")</f>
        <v/>
      </c>
      <c r="R45" s="16" t="str">
        <f>IF(AND(R$10&gt;=$D45,R$11&lt;=$E45),VLOOKUP($F45,$K$2:AF$8,R$1,"Falsch"),"")</f>
        <v/>
      </c>
      <c r="S45" s="16" t="str">
        <f>IF(AND(S$10&gt;=$D45,S$11&lt;=$E45),VLOOKUP($F45,$K$2:AG$8,S$1,"Falsch"),"")</f>
        <v/>
      </c>
      <c r="T45" s="16" t="str">
        <f>IF(AND(T$10&gt;=$D45,T$11&lt;=$E45),VLOOKUP($F45,$K$2:AH$8,T$1,"Falsch"),"")</f>
        <v/>
      </c>
      <c r="U45" s="16" t="str">
        <f>IF(AND(U$10&gt;=$D45,U$11&lt;=$E45),VLOOKUP($F45,$K$2:AI$8,U$1,"Falsch"),"")</f>
        <v/>
      </c>
      <c r="V45" s="16" t="str">
        <f>IF(AND(V$10&gt;=$D45,V$11&lt;=$E45),VLOOKUP($F45,$K$2:AJ$8,V$1,"Falsch"),"")</f>
        <v/>
      </c>
      <c r="W45" s="16" t="str">
        <f>IF(AND(W$10&gt;=$D45,W$11&lt;=$E45),VLOOKUP($F45,$K$2:AK$8,W$1,"Falsch"),"")</f>
        <v/>
      </c>
      <c r="X45" s="16" t="str">
        <f>IF(AND(X$10&gt;=$D45,X$11&lt;=$E45),VLOOKUP($F45,$K$2:AL$8,X$1,"Falsch"),"")</f>
        <v/>
      </c>
      <c r="Y45" s="16" t="str">
        <f>IF(AND(Y$10&gt;=$D45,Y$11&lt;=$E45),VLOOKUP($F45,$K$2:AM$8,Y$1,"Falsch"),"")</f>
        <v/>
      </c>
      <c r="Z45" s="16" t="str">
        <f>IF(AND(Z$10&gt;=$D45,Z$11&lt;=$E45),VLOOKUP($F45,$K$2:AN$8,Z$1,"Falsch"),"")</f>
        <v/>
      </c>
      <c r="AA45" s="16" t="str">
        <f>IF(AND(AA$10&gt;=$D45,AA$11&lt;=$E45),VLOOKUP($F45,$K$2:AO$8,AA$1,"Falsch"),"")</f>
        <v/>
      </c>
      <c r="AB45" s="16" t="str">
        <f>IF(AND(AB$10&gt;=$D45,AB$11&lt;=$E45),VLOOKUP($F45,$K$2:AP$8,AB$1,"Falsch"),"")</f>
        <v/>
      </c>
      <c r="AC45" s="16" t="str">
        <f>IF(AND(AC$10&gt;=$D45,AC$11&lt;=$E45),VLOOKUP($F45,$K$2:AQ$8,AC$1,"Falsch"),"")</f>
        <v/>
      </c>
      <c r="AD45" s="16" t="str">
        <f>IF(AND(AD$10&gt;=$D45,AD$11&lt;=$E45),VLOOKUP($F45,$K$2:AR$8,AD$1,"Falsch"),"")</f>
        <v/>
      </c>
    </row>
    <row r="46" spans="9:30" x14ac:dyDescent="0.25">
      <c r="I46" s="21">
        <f t="shared" si="8"/>
        <v>0</v>
      </c>
      <c r="K46" s="25">
        <f t="shared" si="9"/>
        <v>0</v>
      </c>
      <c r="L46" s="16" t="str">
        <f>IF(AND(L$10&gt;=$D46,L$11&lt;=$E46),VLOOKUP($F46,$K$2:Z$8,L$1,"Falsch"),"")</f>
        <v/>
      </c>
      <c r="M46" s="16" t="str">
        <f>IF(AND(M$10&gt;=$D46,M$11&lt;=$E46),VLOOKUP($F46,$K$2:AA$8,M$1,"Falsch"),"")</f>
        <v/>
      </c>
      <c r="N46" s="16" t="str">
        <f>IF(AND(N$10&gt;=$D46,N$11&lt;=$E46),VLOOKUP($F46,$K$2:AB$8,N$1,"Falsch"),"")</f>
        <v/>
      </c>
      <c r="O46" s="16" t="str">
        <f>IF(AND(O$10&gt;=$D46,O$11&lt;=$E46),VLOOKUP($F46,$K$2:AC$8,O$1,"Falsch"),"")</f>
        <v/>
      </c>
      <c r="P46" s="16" t="str">
        <f>IF(AND(P$10&gt;=$D46,P$11&lt;=$E46),VLOOKUP($F46,$K$2:AD$8,P$1,"Falsch"),"")</f>
        <v/>
      </c>
      <c r="Q46" s="16" t="str">
        <f>IF(AND(Q$10&gt;=$D46,Q$11&lt;=$E46),VLOOKUP($F46,$K$2:AE$8,Q$1,"Falsch"),"")</f>
        <v/>
      </c>
      <c r="R46" s="16" t="str">
        <f>IF(AND(R$10&gt;=$D46,R$11&lt;=$E46),VLOOKUP($F46,$K$2:AF$8,R$1,"Falsch"),"")</f>
        <v/>
      </c>
      <c r="S46" s="16" t="str">
        <f>IF(AND(S$10&gt;=$D46,S$11&lt;=$E46),VLOOKUP($F46,$K$2:AG$8,S$1,"Falsch"),"")</f>
        <v/>
      </c>
      <c r="T46" s="16" t="str">
        <f>IF(AND(T$10&gt;=$D46,T$11&lt;=$E46),VLOOKUP($F46,$K$2:AH$8,T$1,"Falsch"),"")</f>
        <v/>
      </c>
      <c r="U46" s="16" t="str">
        <f>IF(AND(U$10&gt;=$D46,U$11&lt;=$E46),VLOOKUP($F46,$K$2:AI$8,U$1,"Falsch"),"")</f>
        <v/>
      </c>
      <c r="V46" s="16" t="str">
        <f>IF(AND(V$10&gt;=$D46,V$11&lt;=$E46),VLOOKUP($F46,$K$2:AJ$8,V$1,"Falsch"),"")</f>
        <v/>
      </c>
      <c r="W46" s="16" t="str">
        <f>IF(AND(W$10&gt;=$D46,W$11&lt;=$E46),VLOOKUP($F46,$K$2:AK$8,W$1,"Falsch"),"")</f>
        <v/>
      </c>
      <c r="X46" s="16" t="str">
        <f>IF(AND(X$10&gt;=$D46,X$11&lt;=$E46),VLOOKUP($F46,$K$2:AL$8,X$1,"Falsch"),"")</f>
        <v/>
      </c>
      <c r="Y46" s="16" t="str">
        <f>IF(AND(Y$10&gt;=$D46,Y$11&lt;=$E46),VLOOKUP($F46,$K$2:AM$8,Y$1,"Falsch"),"")</f>
        <v/>
      </c>
      <c r="Z46" s="16" t="str">
        <f>IF(AND(Z$10&gt;=$D46,Z$11&lt;=$E46),VLOOKUP($F46,$K$2:AN$8,Z$1,"Falsch"),"")</f>
        <v/>
      </c>
      <c r="AA46" s="16" t="str">
        <f>IF(AND(AA$10&gt;=$D46,AA$11&lt;=$E46),VLOOKUP($F46,$K$2:AO$8,AA$1,"Falsch"),"")</f>
        <v/>
      </c>
      <c r="AB46" s="16" t="str">
        <f>IF(AND(AB$10&gt;=$D46,AB$11&lt;=$E46),VLOOKUP($F46,$K$2:AP$8,AB$1,"Falsch"),"")</f>
        <v/>
      </c>
      <c r="AC46" s="16" t="str">
        <f>IF(AND(AC$10&gt;=$D46,AC$11&lt;=$E46),VLOOKUP($F46,$K$2:AQ$8,AC$1,"Falsch"),"")</f>
        <v/>
      </c>
      <c r="AD46" s="16" t="str">
        <f>IF(AND(AD$10&gt;=$D46,AD$11&lt;=$E46),VLOOKUP($F46,$K$2:AR$8,AD$1,"Falsch"),"")</f>
        <v/>
      </c>
    </row>
    <row r="47" spans="9:30" x14ac:dyDescent="0.25">
      <c r="I47" s="21">
        <f t="shared" si="8"/>
        <v>0</v>
      </c>
      <c r="K47" s="25">
        <f t="shared" si="9"/>
        <v>0</v>
      </c>
      <c r="L47" s="16" t="str">
        <f>IF(AND(L$10&gt;=$D47,L$11&lt;=$E47),VLOOKUP($F47,$K$2:Z$8,L$1,"Falsch"),"")</f>
        <v/>
      </c>
      <c r="M47" s="16" t="str">
        <f>IF(AND(M$10&gt;=$D47,M$11&lt;=$E47),VLOOKUP($F47,$K$2:AA$8,M$1,"Falsch"),"")</f>
        <v/>
      </c>
      <c r="N47" s="16" t="str">
        <f>IF(AND(N$10&gt;=$D47,N$11&lt;=$E47),VLOOKUP($F47,$K$2:AB$8,N$1,"Falsch"),"")</f>
        <v/>
      </c>
      <c r="O47" s="16" t="str">
        <f>IF(AND(O$10&gt;=$D47,O$11&lt;=$E47),VLOOKUP($F47,$K$2:AC$8,O$1,"Falsch"),"")</f>
        <v/>
      </c>
      <c r="P47" s="16" t="str">
        <f>IF(AND(P$10&gt;=$D47,P$11&lt;=$E47),VLOOKUP($F47,$K$2:AD$8,P$1,"Falsch"),"")</f>
        <v/>
      </c>
      <c r="Q47" s="16" t="str">
        <f>IF(AND(Q$10&gt;=$D47,Q$11&lt;=$E47),VLOOKUP($F47,$K$2:AE$8,Q$1,"Falsch"),"")</f>
        <v/>
      </c>
      <c r="R47" s="16" t="str">
        <f>IF(AND(R$10&gt;=$D47,R$11&lt;=$E47),VLOOKUP($F47,$K$2:AF$8,R$1,"Falsch"),"")</f>
        <v/>
      </c>
      <c r="S47" s="16" t="str">
        <f>IF(AND(S$10&gt;=$D47,S$11&lt;=$E47),VLOOKUP($F47,$K$2:AG$8,S$1,"Falsch"),"")</f>
        <v/>
      </c>
      <c r="T47" s="16" t="str">
        <f>IF(AND(T$10&gt;=$D47,T$11&lt;=$E47),VLOOKUP($F47,$K$2:AH$8,T$1,"Falsch"),"")</f>
        <v/>
      </c>
      <c r="U47" s="16" t="str">
        <f>IF(AND(U$10&gt;=$D47,U$11&lt;=$E47),VLOOKUP($F47,$K$2:AI$8,U$1,"Falsch"),"")</f>
        <v/>
      </c>
      <c r="V47" s="16" t="str">
        <f>IF(AND(V$10&gt;=$D47,V$11&lt;=$E47),VLOOKUP($F47,$K$2:AJ$8,V$1,"Falsch"),"")</f>
        <v/>
      </c>
      <c r="W47" s="16" t="str">
        <f>IF(AND(W$10&gt;=$D47,W$11&lt;=$E47),VLOOKUP($F47,$K$2:AK$8,W$1,"Falsch"),"")</f>
        <v/>
      </c>
      <c r="X47" s="16" t="str">
        <f>IF(AND(X$10&gt;=$D47,X$11&lt;=$E47),VLOOKUP($F47,$K$2:AL$8,X$1,"Falsch"),"")</f>
        <v/>
      </c>
      <c r="Y47" s="16" t="str">
        <f>IF(AND(Y$10&gt;=$D47,Y$11&lt;=$E47),VLOOKUP($F47,$K$2:AM$8,Y$1,"Falsch"),"")</f>
        <v/>
      </c>
      <c r="Z47" s="16" t="str">
        <f>IF(AND(Z$10&gt;=$D47,Z$11&lt;=$E47),VLOOKUP($F47,$K$2:AN$8,Z$1,"Falsch"),"")</f>
        <v/>
      </c>
      <c r="AA47" s="16" t="str">
        <f>IF(AND(AA$10&gt;=$D47,AA$11&lt;=$E47),VLOOKUP($F47,$K$2:AO$8,AA$1,"Falsch"),"")</f>
        <v/>
      </c>
      <c r="AB47" s="16" t="str">
        <f>IF(AND(AB$10&gt;=$D47,AB$11&lt;=$E47),VLOOKUP($F47,$K$2:AP$8,AB$1,"Falsch"),"")</f>
        <v/>
      </c>
      <c r="AC47" s="16" t="str">
        <f>IF(AND(AC$10&gt;=$D47,AC$11&lt;=$E47),VLOOKUP($F47,$K$2:AQ$8,AC$1,"Falsch"),"")</f>
        <v/>
      </c>
      <c r="AD47" s="16" t="str">
        <f>IF(AND(AD$10&gt;=$D47,AD$11&lt;=$E47),VLOOKUP($F47,$K$2:AR$8,AD$1,"Falsch"),"")</f>
        <v/>
      </c>
    </row>
    <row r="48" spans="9:30" x14ac:dyDescent="0.25">
      <c r="I48" s="21">
        <f t="shared" si="8"/>
        <v>0</v>
      </c>
      <c r="K48" s="25">
        <f t="shared" si="9"/>
        <v>0</v>
      </c>
      <c r="L48" s="16" t="str">
        <f>IF(AND(L$10&gt;=$D48,L$11&lt;=$E48),VLOOKUP($F48,$K$2:Z$8,L$1,"Falsch"),"")</f>
        <v/>
      </c>
      <c r="M48" s="16" t="str">
        <f>IF(AND(M$10&gt;=$D48,M$11&lt;=$E48),VLOOKUP($F48,$K$2:AA$8,M$1,"Falsch"),"")</f>
        <v/>
      </c>
      <c r="N48" s="16" t="str">
        <f>IF(AND(N$10&gt;=$D48,N$11&lt;=$E48),VLOOKUP($F48,$K$2:AB$8,N$1,"Falsch"),"")</f>
        <v/>
      </c>
      <c r="O48" s="16" t="str">
        <f>IF(AND(O$10&gt;=$D48,O$11&lt;=$E48),VLOOKUP($F48,$K$2:AC$8,O$1,"Falsch"),"")</f>
        <v/>
      </c>
      <c r="P48" s="16" t="str">
        <f>IF(AND(P$10&gt;=$D48,P$11&lt;=$E48),VLOOKUP($F48,$K$2:AD$8,P$1,"Falsch"),"")</f>
        <v/>
      </c>
      <c r="Q48" s="16" t="str">
        <f>IF(AND(Q$10&gt;=$D48,Q$11&lt;=$E48),VLOOKUP($F48,$K$2:AE$8,Q$1,"Falsch"),"")</f>
        <v/>
      </c>
      <c r="R48" s="16" t="str">
        <f>IF(AND(R$10&gt;=$D48,R$11&lt;=$E48),VLOOKUP($F48,$K$2:AF$8,R$1,"Falsch"),"")</f>
        <v/>
      </c>
      <c r="S48" s="16" t="str">
        <f>IF(AND(S$10&gt;=$D48,S$11&lt;=$E48),VLOOKUP($F48,$K$2:AG$8,S$1,"Falsch"),"")</f>
        <v/>
      </c>
      <c r="T48" s="16" t="str">
        <f>IF(AND(T$10&gt;=$D48,T$11&lt;=$E48),VLOOKUP($F48,$K$2:AH$8,T$1,"Falsch"),"")</f>
        <v/>
      </c>
      <c r="U48" s="16" t="str">
        <f>IF(AND(U$10&gt;=$D48,U$11&lt;=$E48),VLOOKUP($F48,$K$2:AI$8,U$1,"Falsch"),"")</f>
        <v/>
      </c>
      <c r="V48" s="16" t="str">
        <f>IF(AND(V$10&gt;=$D48,V$11&lt;=$E48),VLOOKUP($F48,$K$2:AJ$8,V$1,"Falsch"),"")</f>
        <v/>
      </c>
      <c r="W48" s="16" t="str">
        <f>IF(AND(W$10&gt;=$D48,W$11&lt;=$E48),VLOOKUP($F48,$K$2:AK$8,W$1,"Falsch"),"")</f>
        <v/>
      </c>
      <c r="X48" s="16" t="str">
        <f>IF(AND(X$10&gt;=$D48,X$11&lt;=$E48),VLOOKUP($F48,$K$2:AL$8,X$1,"Falsch"),"")</f>
        <v/>
      </c>
      <c r="Y48" s="16" t="str">
        <f>IF(AND(Y$10&gt;=$D48,Y$11&lt;=$E48),VLOOKUP($F48,$K$2:AM$8,Y$1,"Falsch"),"")</f>
        <v/>
      </c>
      <c r="Z48" s="16" t="str">
        <f>IF(AND(Z$10&gt;=$D48,Z$11&lt;=$E48),VLOOKUP($F48,$K$2:AN$8,Z$1,"Falsch"),"")</f>
        <v/>
      </c>
      <c r="AA48" s="16" t="str">
        <f>IF(AND(AA$10&gt;=$D48,AA$11&lt;=$E48),VLOOKUP($F48,$K$2:AO$8,AA$1,"Falsch"),"")</f>
        <v/>
      </c>
      <c r="AB48" s="16" t="str">
        <f>IF(AND(AB$10&gt;=$D48,AB$11&lt;=$E48),VLOOKUP($F48,$K$2:AP$8,AB$1,"Falsch"),"")</f>
        <v/>
      </c>
      <c r="AC48" s="16" t="str">
        <f>IF(AND(AC$10&gt;=$D48,AC$11&lt;=$E48),VLOOKUP($F48,$K$2:AQ$8,AC$1,"Falsch"),"")</f>
        <v/>
      </c>
      <c r="AD48" s="16" t="str">
        <f>IF(AND(AD$10&gt;=$D48,AD$11&lt;=$E48),VLOOKUP($F48,$K$2:AR$8,AD$1,"Falsch"),"")</f>
        <v/>
      </c>
    </row>
    <row r="49" spans="9:30" x14ac:dyDescent="0.25">
      <c r="I49" s="21">
        <f t="shared" si="8"/>
        <v>0</v>
      </c>
      <c r="K49" s="25">
        <f t="shared" si="9"/>
        <v>0</v>
      </c>
      <c r="L49" s="16" t="str">
        <f>IF(AND(L$10&gt;=$D49,L$11&lt;=$E49),VLOOKUP($F49,$K$2:Z$8,L$1,"Falsch"),"")</f>
        <v/>
      </c>
      <c r="M49" s="16" t="str">
        <f>IF(AND(M$10&gt;=$D49,M$11&lt;=$E49),VLOOKUP($F49,$K$2:AA$8,M$1,"Falsch"),"")</f>
        <v/>
      </c>
      <c r="N49" s="16" t="str">
        <f>IF(AND(N$10&gt;=$D49,N$11&lt;=$E49),VLOOKUP($F49,$K$2:AB$8,N$1,"Falsch"),"")</f>
        <v/>
      </c>
      <c r="O49" s="16" t="str">
        <f>IF(AND(O$10&gt;=$D49,O$11&lt;=$E49),VLOOKUP($F49,$K$2:AC$8,O$1,"Falsch"),"")</f>
        <v/>
      </c>
      <c r="P49" s="16" t="str">
        <f>IF(AND(P$10&gt;=$D49,P$11&lt;=$E49),VLOOKUP($F49,$K$2:AD$8,P$1,"Falsch"),"")</f>
        <v/>
      </c>
      <c r="Q49" s="16" t="str">
        <f>IF(AND(Q$10&gt;=$D49,Q$11&lt;=$E49),VLOOKUP($F49,$K$2:AE$8,Q$1,"Falsch"),"")</f>
        <v/>
      </c>
      <c r="R49" s="16" t="str">
        <f>IF(AND(R$10&gt;=$D49,R$11&lt;=$E49),VLOOKUP($F49,$K$2:AF$8,R$1,"Falsch"),"")</f>
        <v/>
      </c>
      <c r="S49" s="16" t="str">
        <f>IF(AND(S$10&gt;=$D49,S$11&lt;=$E49),VLOOKUP($F49,$K$2:AG$8,S$1,"Falsch"),"")</f>
        <v/>
      </c>
      <c r="T49" s="16" t="str">
        <f>IF(AND(T$10&gt;=$D49,T$11&lt;=$E49),VLOOKUP($F49,$K$2:AH$8,T$1,"Falsch"),"")</f>
        <v/>
      </c>
      <c r="U49" s="16" t="str">
        <f>IF(AND(U$10&gt;=$D49,U$11&lt;=$E49),VLOOKUP($F49,$K$2:AI$8,U$1,"Falsch"),"")</f>
        <v/>
      </c>
      <c r="V49" s="16" t="str">
        <f>IF(AND(V$10&gt;=$D49,V$11&lt;=$E49),VLOOKUP($F49,$K$2:AJ$8,V$1,"Falsch"),"")</f>
        <v/>
      </c>
      <c r="W49" s="16" t="str">
        <f>IF(AND(W$10&gt;=$D49,W$11&lt;=$E49),VLOOKUP($F49,$K$2:AK$8,W$1,"Falsch"),"")</f>
        <v/>
      </c>
      <c r="X49" s="16" t="str">
        <f>IF(AND(X$10&gt;=$D49,X$11&lt;=$E49),VLOOKUP($F49,$K$2:AL$8,X$1,"Falsch"),"")</f>
        <v/>
      </c>
      <c r="Y49" s="16" t="str">
        <f>IF(AND(Y$10&gt;=$D49,Y$11&lt;=$E49),VLOOKUP($F49,$K$2:AM$8,Y$1,"Falsch"),"")</f>
        <v/>
      </c>
      <c r="Z49" s="16" t="str">
        <f>IF(AND(Z$10&gt;=$D49,Z$11&lt;=$E49),VLOOKUP($F49,$K$2:AN$8,Z$1,"Falsch"),"")</f>
        <v/>
      </c>
      <c r="AA49" s="16" t="str">
        <f>IF(AND(AA$10&gt;=$D49,AA$11&lt;=$E49),VLOOKUP($F49,$K$2:AO$8,AA$1,"Falsch"),"")</f>
        <v/>
      </c>
      <c r="AB49" s="16" t="str">
        <f>IF(AND(AB$10&gt;=$D49,AB$11&lt;=$E49),VLOOKUP($F49,$K$2:AP$8,AB$1,"Falsch"),"")</f>
        <v/>
      </c>
      <c r="AC49" s="16" t="str">
        <f>IF(AND(AC$10&gt;=$D49,AC$11&lt;=$E49),VLOOKUP($F49,$K$2:AQ$8,AC$1,"Falsch"),"")</f>
        <v/>
      </c>
      <c r="AD49" s="16" t="str">
        <f>IF(AND(AD$10&gt;=$D49,AD$11&lt;=$E49),VLOOKUP($F49,$K$2:AR$8,AD$1,"Falsch"),"")</f>
        <v/>
      </c>
    </row>
    <row r="50" spans="9:30" x14ac:dyDescent="0.25">
      <c r="I50" s="21">
        <f t="shared" si="8"/>
        <v>0</v>
      </c>
      <c r="K50" s="25">
        <f t="shared" si="9"/>
        <v>0</v>
      </c>
      <c r="L50" s="16" t="str">
        <f>IF(AND(L$10&gt;=$D50,L$11&lt;=$E50),VLOOKUP($F50,$K$2:Z$8,L$1,"Falsch"),"")</f>
        <v/>
      </c>
      <c r="M50" s="16" t="str">
        <f>IF(AND(M$10&gt;=$D50,M$11&lt;=$E50),VLOOKUP($F50,$K$2:AA$8,M$1,"Falsch"),"")</f>
        <v/>
      </c>
      <c r="N50" s="16" t="str">
        <f>IF(AND(N$10&gt;=$D50,N$11&lt;=$E50),VLOOKUP($F50,$K$2:AB$8,N$1,"Falsch"),"")</f>
        <v/>
      </c>
      <c r="O50" s="16" t="str">
        <f>IF(AND(O$10&gt;=$D50,O$11&lt;=$E50),VLOOKUP($F50,$K$2:AC$8,O$1,"Falsch"),"")</f>
        <v/>
      </c>
      <c r="P50" s="16" t="str">
        <f>IF(AND(P$10&gt;=$D50,P$11&lt;=$E50),VLOOKUP($F50,$K$2:AD$8,P$1,"Falsch"),"")</f>
        <v/>
      </c>
      <c r="Q50" s="16" t="str">
        <f>IF(AND(Q$10&gt;=$D50,Q$11&lt;=$E50),VLOOKUP($F50,$K$2:AE$8,Q$1,"Falsch"),"")</f>
        <v/>
      </c>
      <c r="R50" s="16" t="str">
        <f>IF(AND(R$10&gt;=$D50,R$11&lt;=$E50),VLOOKUP($F50,$K$2:AF$8,R$1,"Falsch"),"")</f>
        <v/>
      </c>
      <c r="S50" s="16" t="str">
        <f>IF(AND(S$10&gt;=$D50,S$11&lt;=$E50),VLOOKUP($F50,$K$2:AG$8,S$1,"Falsch"),"")</f>
        <v/>
      </c>
      <c r="T50" s="16" t="str">
        <f>IF(AND(T$10&gt;=$D50,T$11&lt;=$E50),VLOOKUP($F50,$K$2:AH$8,T$1,"Falsch"),"")</f>
        <v/>
      </c>
      <c r="U50" s="16" t="str">
        <f>IF(AND(U$10&gt;=$D50,U$11&lt;=$E50),VLOOKUP($F50,$K$2:AI$8,U$1,"Falsch"),"")</f>
        <v/>
      </c>
      <c r="V50" s="16" t="str">
        <f>IF(AND(V$10&gt;=$D50,V$11&lt;=$E50),VLOOKUP($F50,$K$2:AJ$8,V$1,"Falsch"),"")</f>
        <v/>
      </c>
      <c r="W50" s="16" t="str">
        <f>IF(AND(W$10&gt;=$D50,W$11&lt;=$E50),VLOOKUP($F50,$K$2:AK$8,W$1,"Falsch"),"")</f>
        <v/>
      </c>
      <c r="X50" s="16" t="str">
        <f>IF(AND(X$10&gt;=$D50,X$11&lt;=$E50),VLOOKUP($F50,$K$2:AL$8,X$1,"Falsch"),"")</f>
        <v/>
      </c>
      <c r="Y50" s="16" t="str">
        <f>IF(AND(Y$10&gt;=$D50,Y$11&lt;=$E50),VLOOKUP($F50,$K$2:AM$8,Y$1,"Falsch"),"")</f>
        <v/>
      </c>
      <c r="Z50" s="16" t="str">
        <f>IF(AND(Z$10&gt;=$D50,Z$11&lt;=$E50),VLOOKUP($F50,$K$2:AN$8,Z$1,"Falsch"),"")</f>
        <v/>
      </c>
      <c r="AA50" s="16" t="str">
        <f>IF(AND(AA$10&gt;=$D50,AA$11&lt;=$E50),VLOOKUP($F50,$K$2:AO$8,AA$1,"Falsch"),"")</f>
        <v/>
      </c>
      <c r="AB50" s="16" t="str">
        <f>IF(AND(AB$10&gt;=$D50,AB$11&lt;=$E50),VLOOKUP($F50,$K$2:AP$8,AB$1,"Falsch"),"")</f>
        <v/>
      </c>
      <c r="AC50" s="16" t="str">
        <f>IF(AND(AC$10&gt;=$D50,AC$11&lt;=$E50),VLOOKUP($F50,$K$2:AQ$8,AC$1,"Falsch"),"")</f>
        <v/>
      </c>
      <c r="AD50" s="16" t="str">
        <f>IF(AND(AD$10&gt;=$D50,AD$11&lt;=$E50),VLOOKUP($F50,$K$2:AR$8,AD$1,"Falsch"),"")</f>
        <v/>
      </c>
    </row>
    <row r="51" spans="9:30" x14ac:dyDescent="0.25">
      <c r="I51" s="21">
        <f t="shared" si="8"/>
        <v>0</v>
      </c>
      <c r="K51" s="25">
        <f t="shared" si="9"/>
        <v>0</v>
      </c>
      <c r="L51" s="16" t="str">
        <f>IF(AND(L$10&gt;=$D51,L$11&lt;=$E51),VLOOKUP($F51,$K$2:Z$8,L$1,"Falsch"),"")</f>
        <v/>
      </c>
      <c r="M51" s="16" t="str">
        <f>IF(AND(M$10&gt;=$D51,M$11&lt;=$E51),VLOOKUP($F51,$K$2:AA$8,M$1,"Falsch"),"")</f>
        <v/>
      </c>
      <c r="N51" s="16" t="str">
        <f>IF(AND(N$10&gt;=$D51,N$11&lt;=$E51),VLOOKUP($F51,$K$2:AB$8,N$1,"Falsch"),"")</f>
        <v/>
      </c>
      <c r="O51" s="16" t="str">
        <f>IF(AND(O$10&gt;=$D51,O$11&lt;=$E51),VLOOKUP($F51,$K$2:AC$8,O$1,"Falsch"),"")</f>
        <v/>
      </c>
      <c r="P51" s="16" t="str">
        <f>IF(AND(P$10&gt;=$D51,P$11&lt;=$E51),VLOOKUP($F51,$K$2:AD$8,P$1,"Falsch"),"")</f>
        <v/>
      </c>
      <c r="Q51" s="16" t="str">
        <f>IF(AND(Q$10&gt;=$D51,Q$11&lt;=$E51),VLOOKUP($F51,$K$2:AE$8,Q$1,"Falsch"),"")</f>
        <v/>
      </c>
      <c r="R51" s="16" t="str">
        <f>IF(AND(R$10&gt;=$D51,R$11&lt;=$E51),VLOOKUP($F51,$K$2:AF$8,R$1,"Falsch"),"")</f>
        <v/>
      </c>
      <c r="S51" s="16" t="str">
        <f>IF(AND(S$10&gt;=$D51,S$11&lt;=$E51),VLOOKUP($F51,$K$2:AG$8,S$1,"Falsch"),"")</f>
        <v/>
      </c>
      <c r="T51" s="16" t="str">
        <f>IF(AND(T$10&gt;=$D51,T$11&lt;=$E51),VLOOKUP($F51,$K$2:AH$8,T$1,"Falsch"),"")</f>
        <v/>
      </c>
      <c r="U51" s="16" t="str">
        <f>IF(AND(U$10&gt;=$D51,U$11&lt;=$E51),VLOOKUP($F51,$K$2:AI$8,U$1,"Falsch"),"")</f>
        <v/>
      </c>
      <c r="V51" s="16" t="str">
        <f>IF(AND(V$10&gt;=$D51,V$11&lt;=$E51),VLOOKUP($F51,$K$2:AJ$8,V$1,"Falsch"),"")</f>
        <v/>
      </c>
      <c r="W51" s="16" t="str">
        <f>IF(AND(W$10&gt;=$D51,W$11&lt;=$E51),VLOOKUP($F51,$K$2:AK$8,W$1,"Falsch"),"")</f>
        <v/>
      </c>
      <c r="X51" s="16" t="str">
        <f>IF(AND(X$10&gt;=$D51,X$11&lt;=$E51),VLOOKUP($F51,$K$2:AL$8,X$1,"Falsch"),"")</f>
        <v/>
      </c>
      <c r="Y51" s="16" t="str">
        <f>IF(AND(Y$10&gt;=$D51,Y$11&lt;=$E51),VLOOKUP($F51,$K$2:AM$8,Y$1,"Falsch"),"")</f>
        <v/>
      </c>
      <c r="Z51" s="16" t="str">
        <f>IF(AND(Z$10&gt;=$D51,Z$11&lt;=$E51),VLOOKUP($F51,$K$2:AN$8,Z$1,"Falsch"),"")</f>
        <v/>
      </c>
      <c r="AA51" s="16" t="str">
        <f>IF(AND(AA$10&gt;=$D51,AA$11&lt;=$E51),VLOOKUP($F51,$K$2:AO$8,AA$1,"Falsch"),"")</f>
        <v/>
      </c>
      <c r="AB51" s="16" t="str">
        <f>IF(AND(AB$10&gt;=$D51,AB$11&lt;=$E51),VLOOKUP($F51,$K$2:AP$8,AB$1,"Falsch"),"")</f>
        <v/>
      </c>
      <c r="AC51" s="16" t="str">
        <f>IF(AND(AC$10&gt;=$D51,AC$11&lt;=$E51),VLOOKUP($F51,$K$2:AQ$8,AC$1,"Falsch"),"")</f>
        <v/>
      </c>
      <c r="AD51" s="16" t="str">
        <f>IF(AND(AD$10&gt;=$D51,AD$11&lt;=$E51),VLOOKUP($F51,$K$2:AR$8,AD$1,"Falsch"),"")</f>
        <v/>
      </c>
    </row>
    <row r="52" spans="9:30" x14ac:dyDescent="0.25">
      <c r="I52" s="21">
        <f t="shared" si="8"/>
        <v>0</v>
      </c>
      <c r="K52" s="25">
        <f t="shared" si="9"/>
        <v>0</v>
      </c>
      <c r="L52" s="16" t="str">
        <f>IF(AND(L$10&gt;=$D52,L$11&lt;=$E52),VLOOKUP($F52,$K$2:Z$8,L$1,"Falsch"),"")</f>
        <v/>
      </c>
      <c r="M52" s="16" t="str">
        <f>IF(AND(M$10&gt;=$D52,M$11&lt;=$E52),VLOOKUP($F52,$K$2:AA$8,M$1,"Falsch"),"")</f>
        <v/>
      </c>
      <c r="N52" s="16" t="str">
        <f>IF(AND(N$10&gt;=$D52,N$11&lt;=$E52),VLOOKUP($F52,$K$2:AB$8,N$1,"Falsch"),"")</f>
        <v/>
      </c>
      <c r="O52" s="16" t="str">
        <f>IF(AND(O$10&gt;=$D52,O$11&lt;=$E52),VLOOKUP($F52,$K$2:AC$8,O$1,"Falsch"),"")</f>
        <v/>
      </c>
      <c r="P52" s="16" t="str">
        <f>IF(AND(P$10&gt;=$D52,P$11&lt;=$E52),VLOOKUP($F52,$K$2:AD$8,P$1,"Falsch"),"")</f>
        <v/>
      </c>
      <c r="Q52" s="16" t="str">
        <f>IF(AND(Q$10&gt;=$D52,Q$11&lt;=$E52),VLOOKUP($F52,$K$2:AE$8,Q$1,"Falsch"),"")</f>
        <v/>
      </c>
      <c r="R52" s="16" t="str">
        <f>IF(AND(R$10&gt;=$D52,R$11&lt;=$E52),VLOOKUP($F52,$K$2:AF$8,R$1,"Falsch"),"")</f>
        <v/>
      </c>
      <c r="S52" s="16" t="str">
        <f>IF(AND(S$10&gt;=$D52,S$11&lt;=$E52),VLOOKUP($F52,$K$2:AG$8,S$1,"Falsch"),"")</f>
        <v/>
      </c>
      <c r="T52" s="16" t="str">
        <f>IF(AND(T$10&gt;=$D52,T$11&lt;=$E52),VLOOKUP($F52,$K$2:AH$8,T$1,"Falsch"),"")</f>
        <v/>
      </c>
      <c r="U52" s="16" t="str">
        <f>IF(AND(U$10&gt;=$D52,U$11&lt;=$E52),VLOOKUP($F52,$K$2:AI$8,U$1,"Falsch"),"")</f>
        <v/>
      </c>
      <c r="V52" s="16" t="str">
        <f>IF(AND(V$10&gt;=$D52,V$11&lt;=$E52),VLOOKUP($F52,$K$2:AJ$8,V$1,"Falsch"),"")</f>
        <v/>
      </c>
      <c r="W52" s="16" t="str">
        <f>IF(AND(W$10&gt;=$D52,W$11&lt;=$E52),VLOOKUP($F52,$K$2:AK$8,W$1,"Falsch"),"")</f>
        <v/>
      </c>
      <c r="X52" s="16" t="str">
        <f>IF(AND(X$10&gt;=$D52,X$11&lt;=$E52),VLOOKUP($F52,$K$2:AL$8,X$1,"Falsch"),"")</f>
        <v/>
      </c>
      <c r="Y52" s="16" t="str">
        <f>IF(AND(Y$10&gt;=$D52,Y$11&lt;=$E52),VLOOKUP($F52,$K$2:AM$8,Y$1,"Falsch"),"")</f>
        <v/>
      </c>
      <c r="Z52" s="16" t="str">
        <f>IF(AND(Z$10&gt;=$D52,Z$11&lt;=$E52),VLOOKUP($F52,$K$2:AN$8,Z$1,"Falsch"),"")</f>
        <v/>
      </c>
      <c r="AA52" s="16" t="str">
        <f>IF(AND(AA$10&gt;=$D52,AA$11&lt;=$E52),VLOOKUP($F52,$K$2:AO$8,AA$1,"Falsch"),"")</f>
        <v/>
      </c>
      <c r="AB52" s="16" t="str">
        <f>IF(AND(AB$10&gt;=$D52,AB$11&lt;=$E52),VLOOKUP($F52,$K$2:AP$8,AB$1,"Falsch"),"")</f>
        <v/>
      </c>
      <c r="AC52" s="16" t="str">
        <f>IF(AND(AC$10&gt;=$D52,AC$11&lt;=$E52),VLOOKUP($F52,$K$2:AQ$8,AC$1,"Falsch"),"")</f>
        <v/>
      </c>
      <c r="AD52" s="16" t="str">
        <f>IF(AND(AD$10&gt;=$D52,AD$11&lt;=$E52),VLOOKUP($F52,$K$2:AR$8,AD$1,"Falsch"),"")</f>
        <v/>
      </c>
    </row>
    <row r="53" spans="9:30" x14ac:dyDescent="0.25">
      <c r="I53" s="21">
        <f t="shared" si="8"/>
        <v>0</v>
      </c>
      <c r="K53" s="25">
        <f t="shared" si="9"/>
        <v>0</v>
      </c>
      <c r="L53" s="16" t="str">
        <f>IF(AND(L$10&gt;=$D53,L$11&lt;=$E53),VLOOKUP($F53,$K$2:Z$8,L$1,"Falsch"),"")</f>
        <v/>
      </c>
      <c r="M53" s="16" t="str">
        <f>IF(AND(M$10&gt;=$D53,M$11&lt;=$E53),VLOOKUP($F53,$K$2:AA$8,M$1,"Falsch"),"")</f>
        <v/>
      </c>
      <c r="N53" s="16" t="str">
        <f>IF(AND(N$10&gt;=$D53,N$11&lt;=$E53),VLOOKUP($F53,$K$2:AB$8,N$1,"Falsch"),"")</f>
        <v/>
      </c>
      <c r="O53" s="16" t="str">
        <f>IF(AND(O$10&gt;=$D53,O$11&lt;=$E53),VLOOKUP($F53,$K$2:AC$8,O$1,"Falsch"),"")</f>
        <v/>
      </c>
      <c r="P53" s="16" t="str">
        <f>IF(AND(P$10&gt;=$D53,P$11&lt;=$E53),VLOOKUP($F53,$K$2:AD$8,P$1,"Falsch"),"")</f>
        <v/>
      </c>
      <c r="Q53" s="16" t="str">
        <f>IF(AND(Q$10&gt;=$D53,Q$11&lt;=$E53),VLOOKUP($F53,$K$2:AE$8,Q$1,"Falsch"),"")</f>
        <v/>
      </c>
      <c r="R53" s="16" t="str">
        <f>IF(AND(R$10&gt;=$D53,R$11&lt;=$E53),VLOOKUP($F53,$K$2:AF$8,R$1,"Falsch"),"")</f>
        <v/>
      </c>
      <c r="S53" s="16" t="str">
        <f>IF(AND(S$10&gt;=$D53,S$11&lt;=$E53),VLOOKUP($F53,$K$2:AG$8,S$1,"Falsch"),"")</f>
        <v/>
      </c>
      <c r="T53" s="16" t="str">
        <f>IF(AND(T$10&gt;=$D53,T$11&lt;=$E53),VLOOKUP($F53,$K$2:AH$8,T$1,"Falsch"),"")</f>
        <v/>
      </c>
      <c r="U53" s="16" t="str">
        <f>IF(AND(U$10&gt;=$D53,U$11&lt;=$E53),VLOOKUP($F53,$K$2:AI$8,U$1,"Falsch"),"")</f>
        <v/>
      </c>
      <c r="V53" s="16" t="str">
        <f>IF(AND(V$10&gt;=$D53,V$11&lt;=$E53),VLOOKUP($F53,$K$2:AJ$8,V$1,"Falsch"),"")</f>
        <v/>
      </c>
      <c r="W53" s="16" t="str">
        <f>IF(AND(W$10&gt;=$D53,W$11&lt;=$E53),VLOOKUP($F53,$K$2:AK$8,W$1,"Falsch"),"")</f>
        <v/>
      </c>
      <c r="X53" s="16" t="str">
        <f>IF(AND(X$10&gt;=$D53,X$11&lt;=$E53),VLOOKUP($F53,$K$2:AL$8,X$1,"Falsch"),"")</f>
        <v/>
      </c>
      <c r="Y53" s="16" t="str">
        <f>IF(AND(Y$10&gt;=$D53,Y$11&lt;=$E53),VLOOKUP($F53,$K$2:AM$8,Y$1,"Falsch"),"")</f>
        <v/>
      </c>
      <c r="Z53" s="16" t="str">
        <f>IF(AND(Z$10&gt;=$D53,Z$11&lt;=$E53),VLOOKUP($F53,$K$2:AN$8,Z$1,"Falsch"),"")</f>
        <v/>
      </c>
      <c r="AA53" s="16" t="str">
        <f>IF(AND(AA$10&gt;=$D53,AA$11&lt;=$E53),VLOOKUP($F53,$K$2:AO$8,AA$1,"Falsch"),"")</f>
        <v/>
      </c>
      <c r="AB53" s="16" t="str">
        <f>IF(AND(AB$10&gt;=$D53,AB$11&lt;=$E53),VLOOKUP($F53,$K$2:AP$8,AB$1,"Falsch"),"")</f>
        <v/>
      </c>
      <c r="AC53" s="16" t="str">
        <f>IF(AND(AC$10&gt;=$D53,AC$11&lt;=$E53),VLOOKUP($F53,$K$2:AQ$8,AC$1,"Falsch"),"")</f>
        <v/>
      </c>
      <c r="AD53" s="16" t="str">
        <f>IF(AND(AD$10&gt;=$D53,AD$11&lt;=$E53),VLOOKUP($F53,$K$2:AR$8,AD$1,"Falsch"),"")</f>
        <v/>
      </c>
    </row>
    <row r="54" spans="9:30" x14ac:dyDescent="0.25">
      <c r="I54" s="21">
        <f t="shared" si="8"/>
        <v>0</v>
      </c>
      <c r="K54" s="25">
        <f t="shared" si="9"/>
        <v>0</v>
      </c>
      <c r="L54" s="16" t="str">
        <f>IF(AND(L$10&gt;=$D54,L$11&lt;=$E54),VLOOKUP($F54,$K$2:Z$8,L$1,"Falsch"),"")</f>
        <v/>
      </c>
      <c r="M54" s="16" t="str">
        <f>IF(AND(M$10&gt;=$D54,M$11&lt;=$E54),VLOOKUP($F54,$K$2:AA$8,M$1,"Falsch"),"")</f>
        <v/>
      </c>
      <c r="N54" s="16" t="str">
        <f>IF(AND(N$10&gt;=$D54,N$11&lt;=$E54),VLOOKUP($F54,$K$2:AB$8,N$1,"Falsch"),"")</f>
        <v/>
      </c>
      <c r="O54" s="16" t="str">
        <f>IF(AND(O$10&gt;=$D54,O$11&lt;=$E54),VLOOKUP($F54,$K$2:AC$8,O$1,"Falsch"),"")</f>
        <v/>
      </c>
      <c r="P54" s="16" t="str">
        <f>IF(AND(P$10&gt;=$D54,P$11&lt;=$E54),VLOOKUP($F54,$K$2:AD$8,P$1,"Falsch"),"")</f>
        <v/>
      </c>
      <c r="Q54" s="16" t="str">
        <f>IF(AND(Q$10&gt;=$D54,Q$11&lt;=$E54),VLOOKUP($F54,$K$2:AE$8,Q$1,"Falsch"),"")</f>
        <v/>
      </c>
      <c r="R54" s="16" t="str">
        <f>IF(AND(R$10&gt;=$D54,R$11&lt;=$E54),VLOOKUP($F54,$K$2:AF$8,R$1,"Falsch"),"")</f>
        <v/>
      </c>
      <c r="S54" s="16" t="str">
        <f>IF(AND(S$10&gt;=$D54,S$11&lt;=$E54),VLOOKUP($F54,$K$2:AG$8,S$1,"Falsch"),"")</f>
        <v/>
      </c>
      <c r="T54" s="16" t="str">
        <f>IF(AND(T$10&gt;=$D54,T$11&lt;=$E54),VLOOKUP($F54,$K$2:AH$8,T$1,"Falsch"),"")</f>
        <v/>
      </c>
      <c r="U54" s="16" t="str">
        <f>IF(AND(U$10&gt;=$D54,U$11&lt;=$E54),VLOOKUP($F54,$K$2:AI$8,U$1,"Falsch"),"")</f>
        <v/>
      </c>
      <c r="V54" s="16" t="str">
        <f>IF(AND(V$10&gt;=$D54,V$11&lt;=$E54),VLOOKUP($F54,$K$2:AJ$8,V$1,"Falsch"),"")</f>
        <v/>
      </c>
      <c r="W54" s="16" t="str">
        <f>IF(AND(W$10&gt;=$D54,W$11&lt;=$E54),VLOOKUP($F54,$K$2:AK$8,W$1,"Falsch"),"")</f>
        <v/>
      </c>
      <c r="X54" s="16" t="str">
        <f>IF(AND(X$10&gt;=$D54,X$11&lt;=$E54),VLOOKUP($F54,$K$2:AL$8,X$1,"Falsch"),"")</f>
        <v/>
      </c>
      <c r="Y54" s="16" t="str">
        <f>IF(AND(Y$10&gt;=$D54,Y$11&lt;=$E54),VLOOKUP($F54,$K$2:AM$8,Y$1,"Falsch"),"")</f>
        <v/>
      </c>
      <c r="Z54" s="16" t="str">
        <f>IF(AND(Z$10&gt;=$D54,Z$11&lt;=$E54),VLOOKUP($F54,$K$2:AN$8,Z$1,"Falsch"),"")</f>
        <v/>
      </c>
      <c r="AA54" s="16" t="str">
        <f>IF(AND(AA$10&gt;=$D54,AA$11&lt;=$E54),VLOOKUP($F54,$K$2:AO$8,AA$1,"Falsch"),"")</f>
        <v/>
      </c>
      <c r="AB54" s="16" t="str">
        <f>IF(AND(AB$10&gt;=$D54,AB$11&lt;=$E54),VLOOKUP($F54,$K$2:AP$8,AB$1,"Falsch"),"")</f>
        <v/>
      </c>
      <c r="AC54" s="16" t="str">
        <f>IF(AND(AC$10&gt;=$D54,AC$11&lt;=$E54),VLOOKUP($F54,$K$2:AQ$8,AC$1,"Falsch"),"")</f>
        <v/>
      </c>
      <c r="AD54" s="16" t="str">
        <f>IF(AND(AD$10&gt;=$D54,AD$11&lt;=$E54),VLOOKUP($F54,$K$2:AR$8,AD$1,"Falsch"),"")</f>
        <v/>
      </c>
    </row>
    <row r="55" spans="9:30" x14ac:dyDescent="0.25">
      <c r="I55" s="21">
        <f t="shared" si="8"/>
        <v>0</v>
      </c>
      <c r="K55" s="25">
        <f t="shared" si="9"/>
        <v>0</v>
      </c>
      <c r="L55" s="16" t="str">
        <f>IF(AND(L$10&gt;=$D55,L$11&lt;=$E55),VLOOKUP($F55,$K$2:Z$8,L$1,"Falsch"),"")</f>
        <v/>
      </c>
      <c r="M55" s="16" t="str">
        <f>IF(AND(M$10&gt;=$D55,M$11&lt;=$E55),VLOOKUP($F55,$K$2:AA$8,M$1,"Falsch"),"")</f>
        <v/>
      </c>
      <c r="N55" s="16" t="str">
        <f>IF(AND(N$10&gt;=$D55,N$11&lt;=$E55),VLOOKUP($F55,$K$2:AB$8,N$1,"Falsch"),"")</f>
        <v/>
      </c>
      <c r="O55" s="16" t="str">
        <f>IF(AND(O$10&gt;=$D55,O$11&lt;=$E55),VLOOKUP($F55,$K$2:AC$8,O$1,"Falsch"),"")</f>
        <v/>
      </c>
      <c r="P55" s="16" t="str">
        <f>IF(AND(P$10&gt;=$D55,P$11&lt;=$E55),VLOOKUP($F55,$K$2:AD$8,P$1,"Falsch"),"")</f>
        <v/>
      </c>
      <c r="Q55" s="16" t="str">
        <f>IF(AND(Q$10&gt;=$D55,Q$11&lt;=$E55),VLOOKUP($F55,$K$2:AE$8,Q$1,"Falsch"),"")</f>
        <v/>
      </c>
      <c r="R55" s="16" t="str">
        <f>IF(AND(R$10&gt;=$D55,R$11&lt;=$E55),VLOOKUP($F55,$K$2:AF$8,R$1,"Falsch"),"")</f>
        <v/>
      </c>
      <c r="S55" s="16" t="str">
        <f>IF(AND(S$10&gt;=$D55,S$11&lt;=$E55),VLOOKUP($F55,$K$2:AG$8,S$1,"Falsch"),"")</f>
        <v/>
      </c>
      <c r="T55" s="16" t="str">
        <f>IF(AND(T$10&gt;=$D55,T$11&lt;=$E55),VLOOKUP($F55,$K$2:AH$8,T$1,"Falsch"),"")</f>
        <v/>
      </c>
      <c r="U55" s="16" t="str">
        <f>IF(AND(U$10&gt;=$D55,U$11&lt;=$E55),VLOOKUP($F55,$K$2:AI$8,U$1,"Falsch"),"")</f>
        <v/>
      </c>
      <c r="V55" s="16" t="str">
        <f>IF(AND(V$10&gt;=$D55,V$11&lt;=$E55),VLOOKUP($F55,$K$2:AJ$8,V$1,"Falsch"),"")</f>
        <v/>
      </c>
      <c r="W55" s="16" t="str">
        <f>IF(AND(W$10&gt;=$D55,W$11&lt;=$E55),VLOOKUP($F55,$K$2:AK$8,W$1,"Falsch"),"")</f>
        <v/>
      </c>
      <c r="X55" s="16" t="str">
        <f>IF(AND(X$10&gt;=$D55,X$11&lt;=$E55),VLOOKUP($F55,$K$2:AL$8,X$1,"Falsch"),"")</f>
        <v/>
      </c>
      <c r="Y55" s="16" t="str">
        <f>IF(AND(Y$10&gt;=$D55,Y$11&lt;=$E55),VLOOKUP($F55,$K$2:AM$8,Y$1,"Falsch"),"")</f>
        <v/>
      </c>
      <c r="Z55" s="16" t="str">
        <f>IF(AND(Z$10&gt;=$D55,Z$11&lt;=$E55),VLOOKUP($F55,$K$2:AN$8,Z$1,"Falsch"),"")</f>
        <v/>
      </c>
      <c r="AA55" s="16" t="str">
        <f>IF(AND(AA$10&gt;=$D55,AA$11&lt;=$E55),VLOOKUP($F55,$K$2:AO$8,AA$1,"Falsch"),"")</f>
        <v/>
      </c>
      <c r="AB55" s="16" t="str">
        <f>IF(AND(AB$10&gt;=$D55,AB$11&lt;=$E55),VLOOKUP($F55,$K$2:AP$8,AB$1,"Falsch"),"")</f>
        <v/>
      </c>
      <c r="AC55" s="16" t="str">
        <f>IF(AND(AC$10&gt;=$D55,AC$11&lt;=$E55),VLOOKUP($F55,$K$2:AQ$8,AC$1,"Falsch"),"")</f>
        <v/>
      </c>
      <c r="AD55" s="16" t="str">
        <f>IF(AND(AD$10&gt;=$D55,AD$11&lt;=$E55),VLOOKUP($F55,$K$2:AR$8,AD$1,"Falsch"),"")</f>
        <v/>
      </c>
    </row>
    <row r="56" spans="9:30" x14ac:dyDescent="0.25">
      <c r="I56" s="21">
        <f t="shared" si="8"/>
        <v>0</v>
      </c>
      <c r="K56" s="25">
        <f t="shared" si="9"/>
        <v>0</v>
      </c>
      <c r="L56" s="16" t="str">
        <f>IF(AND(L$10&gt;=$D56,L$11&lt;=$E56),VLOOKUP($F56,$K$2:Z$8,L$1,"Falsch"),"")</f>
        <v/>
      </c>
      <c r="M56" s="16" t="str">
        <f>IF(AND(M$10&gt;=$D56,M$11&lt;=$E56),VLOOKUP($F56,$K$2:AA$8,M$1,"Falsch"),"")</f>
        <v/>
      </c>
      <c r="N56" s="16" t="str">
        <f>IF(AND(N$10&gt;=$D56,N$11&lt;=$E56),VLOOKUP($F56,$K$2:AB$8,N$1,"Falsch"),"")</f>
        <v/>
      </c>
      <c r="O56" s="16" t="str">
        <f>IF(AND(O$10&gt;=$D56,O$11&lt;=$E56),VLOOKUP($F56,$K$2:AC$8,O$1,"Falsch"),"")</f>
        <v/>
      </c>
      <c r="P56" s="16" t="str">
        <f>IF(AND(P$10&gt;=$D56,P$11&lt;=$E56),VLOOKUP($F56,$K$2:AD$8,P$1,"Falsch"),"")</f>
        <v/>
      </c>
      <c r="Q56" s="16" t="str">
        <f>IF(AND(Q$10&gt;=$D56,Q$11&lt;=$E56),VLOOKUP($F56,$K$2:AE$8,Q$1,"Falsch"),"")</f>
        <v/>
      </c>
      <c r="R56" s="16" t="str">
        <f>IF(AND(R$10&gt;=$D56,R$11&lt;=$E56),VLOOKUP($F56,$K$2:AF$8,R$1,"Falsch"),"")</f>
        <v/>
      </c>
      <c r="S56" s="16" t="str">
        <f>IF(AND(S$10&gt;=$D56,S$11&lt;=$E56),VLOOKUP($F56,$K$2:AG$8,S$1,"Falsch"),"")</f>
        <v/>
      </c>
      <c r="T56" s="16" t="str">
        <f>IF(AND(T$10&gt;=$D56,T$11&lt;=$E56),VLOOKUP($F56,$K$2:AH$8,T$1,"Falsch"),"")</f>
        <v/>
      </c>
      <c r="U56" s="16" t="str">
        <f>IF(AND(U$10&gt;=$D56,U$11&lt;=$E56),VLOOKUP($F56,$K$2:AI$8,U$1,"Falsch"),"")</f>
        <v/>
      </c>
      <c r="V56" s="16" t="str">
        <f>IF(AND(V$10&gt;=$D56,V$11&lt;=$E56),VLOOKUP($F56,$K$2:AJ$8,V$1,"Falsch"),"")</f>
        <v/>
      </c>
      <c r="W56" s="16" t="str">
        <f>IF(AND(W$10&gt;=$D56,W$11&lt;=$E56),VLOOKUP($F56,$K$2:AK$8,W$1,"Falsch"),"")</f>
        <v/>
      </c>
      <c r="X56" s="16" t="str">
        <f>IF(AND(X$10&gt;=$D56,X$11&lt;=$E56),VLOOKUP($F56,$K$2:AL$8,X$1,"Falsch"),"")</f>
        <v/>
      </c>
      <c r="Y56" s="16" t="str">
        <f>IF(AND(Y$10&gt;=$D56,Y$11&lt;=$E56),VLOOKUP($F56,$K$2:AM$8,Y$1,"Falsch"),"")</f>
        <v/>
      </c>
      <c r="Z56" s="16" t="str">
        <f>IF(AND(Z$10&gt;=$D56,Z$11&lt;=$E56),VLOOKUP($F56,$K$2:AN$8,Z$1,"Falsch"),"")</f>
        <v/>
      </c>
      <c r="AA56" s="16" t="str">
        <f>IF(AND(AA$10&gt;=$D56,AA$11&lt;=$E56),VLOOKUP($F56,$K$2:AO$8,AA$1,"Falsch"),"")</f>
        <v/>
      </c>
      <c r="AB56" s="16" t="str">
        <f>IF(AND(AB$10&gt;=$D56,AB$11&lt;=$E56),VLOOKUP($F56,$K$2:AP$8,AB$1,"Falsch"),"")</f>
        <v/>
      </c>
      <c r="AC56" s="16" t="str">
        <f>IF(AND(AC$10&gt;=$D56,AC$11&lt;=$E56),VLOOKUP($F56,$K$2:AQ$8,AC$1,"Falsch"),"")</f>
        <v/>
      </c>
      <c r="AD56" s="16" t="str">
        <f>IF(AND(AD$10&gt;=$D56,AD$11&lt;=$E56),VLOOKUP($F56,$K$2:AR$8,AD$1,"Falsch"),"")</f>
        <v/>
      </c>
    </row>
    <row r="57" spans="9:30" x14ac:dyDescent="0.25">
      <c r="I57" s="21">
        <f t="shared" si="8"/>
        <v>0</v>
      </c>
      <c r="K57" s="25">
        <f t="shared" si="9"/>
        <v>0</v>
      </c>
      <c r="L57" s="16" t="str">
        <f>IF(AND(L$10&gt;=$D57,L$11&lt;=$E57),VLOOKUP($F57,$K$2:Z$8,L$1,"Falsch"),"")</f>
        <v/>
      </c>
      <c r="M57" s="16" t="str">
        <f>IF(AND(M$10&gt;=$D57,M$11&lt;=$E57),VLOOKUP($F57,$K$2:AA$8,M$1,"Falsch"),"")</f>
        <v/>
      </c>
      <c r="N57" s="16" t="str">
        <f>IF(AND(N$10&gt;=$D57,N$11&lt;=$E57),VLOOKUP($F57,$K$2:AB$8,N$1,"Falsch"),"")</f>
        <v/>
      </c>
      <c r="O57" s="16" t="str">
        <f>IF(AND(O$10&gt;=$D57,O$11&lt;=$E57),VLOOKUP($F57,$K$2:AC$8,O$1,"Falsch"),"")</f>
        <v/>
      </c>
      <c r="P57" s="16" t="str">
        <f>IF(AND(P$10&gt;=$D57,P$11&lt;=$E57),VLOOKUP($F57,$K$2:AD$8,P$1,"Falsch"),"")</f>
        <v/>
      </c>
      <c r="Q57" s="16" t="str">
        <f>IF(AND(Q$10&gt;=$D57,Q$11&lt;=$E57),VLOOKUP($F57,$K$2:AE$8,Q$1,"Falsch"),"")</f>
        <v/>
      </c>
      <c r="R57" s="16" t="str">
        <f>IF(AND(R$10&gt;=$D57,R$11&lt;=$E57),VLOOKUP($F57,$K$2:AF$8,R$1,"Falsch"),"")</f>
        <v/>
      </c>
      <c r="S57" s="16" t="str">
        <f>IF(AND(S$10&gt;=$D57,S$11&lt;=$E57),VLOOKUP($F57,$K$2:AG$8,S$1,"Falsch"),"")</f>
        <v/>
      </c>
      <c r="T57" s="16" t="str">
        <f>IF(AND(T$10&gt;=$D57,T$11&lt;=$E57),VLOOKUP($F57,$K$2:AH$8,T$1,"Falsch"),"")</f>
        <v/>
      </c>
      <c r="U57" s="16" t="str">
        <f>IF(AND(U$10&gt;=$D57,U$11&lt;=$E57),VLOOKUP($F57,$K$2:AI$8,U$1,"Falsch"),"")</f>
        <v/>
      </c>
      <c r="V57" s="16" t="str">
        <f>IF(AND(V$10&gt;=$D57,V$11&lt;=$E57),VLOOKUP($F57,$K$2:AJ$8,V$1,"Falsch"),"")</f>
        <v/>
      </c>
      <c r="W57" s="16" t="str">
        <f>IF(AND(W$10&gt;=$D57,W$11&lt;=$E57),VLOOKUP($F57,$K$2:AK$8,W$1,"Falsch"),"")</f>
        <v/>
      </c>
      <c r="X57" s="16" t="str">
        <f>IF(AND(X$10&gt;=$D57,X$11&lt;=$E57),VLOOKUP($F57,$K$2:AL$8,X$1,"Falsch"),"")</f>
        <v/>
      </c>
      <c r="Y57" s="16" t="str">
        <f>IF(AND(Y$10&gt;=$D57,Y$11&lt;=$E57),VLOOKUP($F57,$K$2:AM$8,Y$1,"Falsch"),"")</f>
        <v/>
      </c>
      <c r="Z57" s="16" t="str">
        <f>IF(AND(Z$10&gt;=$D57,Z$11&lt;=$E57),VLOOKUP($F57,$K$2:AN$8,Z$1,"Falsch"),"")</f>
        <v/>
      </c>
      <c r="AA57" s="16" t="str">
        <f>IF(AND(AA$10&gt;=$D57,AA$11&lt;=$E57),VLOOKUP($F57,$K$2:AO$8,AA$1,"Falsch"),"")</f>
        <v/>
      </c>
      <c r="AB57" s="16" t="str">
        <f>IF(AND(AB$10&gt;=$D57,AB$11&lt;=$E57),VLOOKUP($F57,$K$2:AP$8,AB$1,"Falsch"),"")</f>
        <v/>
      </c>
      <c r="AC57" s="16" t="str">
        <f>IF(AND(AC$10&gt;=$D57,AC$11&lt;=$E57),VLOOKUP($F57,$K$2:AQ$8,AC$1,"Falsch"),"")</f>
        <v/>
      </c>
      <c r="AD57" s="16" t="str">
        <f>IF(AND(AD$10&gt;=$D57,AD$11&lt;=$E57),VLOOKUP($F57,$K$2:AR$8,AD$1,"Falsch"),"")</f>
        <v/>
      </c>
    </row>
    <row r="58" spans="9:30" x14ac:dyDescent="0.25">
      <c r="I58" s="21">
        <f t="shared" si="8"/>
        <v>0</v>
      </c>
      <c r="K58" s="25">
        <f t="shared" si="9"/>
        <v>0</v>
      </c>
      <c r="L58" s="16" t="str">
        <f>IF(AND(L$10&gt;=$D58,L$11&lt;=$E58),VLOOKUP($F58,$K$2:Z$8,L$1,"Falsch"),"")</f>
        <v/>
      </c>
      <c r="M58" s="16" t="str">
        <f>IF(AND(M$10&gt;=$D58,M$11&lt;=$E58),VLOOKUP($F58,$K$2:AA$8,M$1,"Falsch"),"")</f>
        <v/>
      </c>
      <c r="N58" s="16" t="str">
        <f>IF(AND(N$10&gt;=$D58,N$11&lt;=$E58),VLOOKUP($F58,$K$2:AB$8,N$1,"Falsch"),"")</f>
        <v/>
      </c>
      <c r="O58" s="16" t="str">
        <f>IF(AND(O$10&gt;=$D58,O$11&lt;=$E58),VLOOKUP($F58,$K$2:AC$8,O$1,"Falsch"),"")</f>
        <v/>
      </c>
      <c r="P58" s="16" t="str">
        <f>IF(AND(P$10&gt;=$D58,P$11&lt;=$E58),VLOOKUP($F58,$K$2:AD$8,P$1,"Falsch"),"")</f>
        <v/>
      </c>
      <c r="Q58" s="16" t="str">
        <f>IF(AND(Q$10&gt;=$D58,Q$11&lt;=$E58),VLOOKUP($F58,$K$2:AE$8,Q$1,"Falsch"),"")</f>
        <v/>
      </c>
      <c r="R58" s="16" t="str">
        <f>IF(AND(R$10&gt;=$D58,R$11&lt;=$E58),VLOOKUP($F58,$K$2:AF$8,R$1,"Falsch"),"")</f>
        <v/>
      </c>
      <c r="S58" s="16" t="str">
        <f>IF(AND(S$10&gt;=$D58,S$11&lt;=$E58),VLOOKUP($F58,$K$2:AG$8,S$1,"Falsch"),"")</f>
        <v/>
      </c>
      <c r="T58" s="16" t="str">
        <f>IF(AND(T$10&gt;=$D58,T$11&lt;=$E58),VLOOKUP($F58,$K$2:AH$8,T$1,"Falsch"),"")</f>
        <v/>
      </c>
      <c r="U58" s="16" t="str">
        <f>IF(AND(U$10&gt;=$D58,U$11&lt;=$E58),VLOOKUP($F58,$K$2:AI$8,U$1,"Falsch"),"")</f>
        <v/>
      </c>
      <c r="V58" s="16" t="str">
        <f>IF(AND(V$10&gt;=$D58,V$11&lt;=$E58),VLOOKUP($F58,$K$2:AJ$8,V$1,"Falsch"),"")</f>
        <v/>
      </c>
      <c r="W58" s="16" t="str">
        <f>IF(AND(W$10&gt;=$D58,W$11&lt;=$E58),VLOOKUP($F58,$K$2:AK$8,W$1,"Falsch"),"")</f>
        <v/>
      </c>
      <c r="X58" s="16" t="str">
        <f>IF(AND(X$10&gt;=$D58,X$11&lt;=$E58),VLOOKUP($F58,$K$2:AL$8,X$1,"Falsch"),"")</f>
        <v/>
      </c>
      <c r="Y58" s="16" t="str">
        <f>IF(AND(Y$10&gt;=$D58,Y$11&lt;=$E58),VLOOKUP($F58,$K$2:AM$8,Y$1,"Falsch"),"")</f>
        <v/>
      </c>
      <c r="Z58" s="16" t="str">
        <f>IF(AND(Z$10&gt;=$D58,Z$11&lt;=$E58),VLOOKUP($F58,$K$2:AN$8,Z$1,"Falsch"),"")</f>
        <v/>
      </c>
      <c r="AA58" s="16" t="str">
        <f>IF(AND(AA$10&gt;=$D58,AA$11&lt;=$E58),VLOOKUP($F58,$K$2:AO$8,AA$1,"Falsch"),"")</f>
        <v/>
      </c>
      <c r="AB58" s="16" t="str">
        <f>IF(AND(AB$10&gt;=$D58,AB$11&lt;=$E58),VLOOKUP($F58,$K$2:AP$8,AB$1,"Falsch"),"")</f>
        <v/>
      </c>
      <c r="AC58" s="16" t="str">
        <f>IF(AND(AC$10&gt;=$D58,AC$11&lt;=$E58),VLOOKUP($F58,$K$2:AQ$8,AC$1,"Falsch"),"")</f>
        <v/>
      </c>
      <c r="AD58" s="16" t="str">
        <f>IF(AND(AD$10&gt;=$D58,AD$11&lt;=$E58),VLOOKUP($F58,$K$2:AR$8,AD$1,"Falsch"),"")</f>
        <v/>
      </c>
    </row>
    <row r="59" spans="9:30" x14ac:dyDescent="0.25">
      <c r="I59" s="21">
        <f t="shared" si="8"/>
        <v>0</v>
      </c>
      <c r="K59" s="25">
        <f t="shared" si="9"/>
        <v>0</v>
      </c>
      <c r="L59" s="16" t="str">
        <f>IF(AND(L$10&gt;=$D59,L$11&lt;=$E59),VLOOKUP($F59,$K$2:Z$8,L$1,"Falsch"),"")</f>
        <v/>
      </c>
      <c r="M59" s="16" t="str">
        <f>IF(AND(M$10&gt;=$D59,M$11&lt;=$E59),VLOOKUP($F59,$K$2:AA$8,M$1,"Falsch"),"")</f>
        <v/>
      </c>
      <c r="N59" s="16" t="str">
        <f>IF(AND(N$10&gt;=$D59,N$11&lt;=$E59),VLOOKUP($F59,$K$2:AB$8,N$1,"Falsch"),"")</f>
        <v/>
      </c>
      <c r="O59" s="16" t="str">
        <f>IF(AND(O$10&gt;=$D59,O$11&lt;=$E59),VLOOKUP($F59,$K$2:AC$8,O$1,"Falsch"),"")</f>
        <v/>
      </c>
      <c r="P59" s="16" t="str">
        <f>IF(AND(P$10&gt;=$D59,P$11&lt;=$E59),VLOOKUP($F59,$K$2:AD$8,P$1,"Falsch"),"")</f>
        <v/>
      </c>
      <c r="Q59" s="16" t="str">
        <f>IF(AND(Q$10&gt;=$D59,Q$11&lt;=$E59),VLOOKUP($F59,$K$2:AE$8,Q$1,"Falsch"),"")</f>
        <v/>
      </c>
      <c r="R59" s="16" t="str">
        <f>IF(AND(R$10&gt;=$D59,R$11&lt;=$E59),VLOOKUP($F59,$K$2:AF$8,R$1,"Falsch"),"")</f>
        <v/>
      </c>
      <c r="S59" s="16" t="str">
        <f>IF(AND(S$10&gt;=$D59,S$11&lt;=$E59),VLOOKUP($F59,$K$2:AG$8,S$1,"Falsch"),"")</f>
        <v/>
      </c>
      <c r="T59" s="16" t="str">
        <f>IF(AND(T$10&gt;=$D59,T$11&lt;=$E59),VLOOKUP($F59,$K$2:AH$8,T$1,"Falsch"),"")</f>
        <v/>
      </c>
      <c r="U59" s="16" t="str">
        <f>IF(AND(U$10&gt;=$D59,U$11&lt;=$E59),VLOOKUP($F59,$K$2:AI$8,U$1,"Falsch"),"")</f>
        <v/>
      </c>
      <c r="V59" s="16" t="str">
        <f>IF(AND(V$10&gt;=$D59,V$11&lt;=$E59),VLOOKUP($F59,$K$2:AJ$8,V$1,"Falsch"),"")</f>
        <v/>
      </c>
      <c r="W59" s="16" t="str">
        <f>IF(AND(W$10&gt;=$D59,W$11&lt;=$E59),VLOOKUP($F59,$K$2:AK$8,W$1,"Falsch"),"")</f>
        <v/>
      </c>
      <c r="X59" s="16" t="str">
        <f>IF(AND(X$10&gt;=$D59,X$11&lt;=$E59),VLOOKUP($F59,$K$2:AL$8,X$1,"Falsch"),"")</f>
        <v/>
      </c>
      <c r="Y59" s="16" t="str">
        <f>IF(AND(Y$10&gt;=$D59,Y$11&lt;=$E59),VLOOKUP($F59,$K$2:AM$8,Y$1,"Falsch"),"")</f>
        <v/>
      </c>
      <c r="Z59" s="16" t="str">
        <f>IF(AND(Z$10&gt;=$D59,Z$11&lt;=$E59),VLOOKUP($F59,$K$2:AN$8,Z$1,"Falsch"),"")</f>
        <v/>
      </c>
      <c r="AA59" s="16" t="str">
        <f>IF(AND(AA$10&gt;=$D59,AA$11&lt;=$E59),VLOOKUP($F59,$K$2:AO$8,AA$1,"Falsch"),"")</f>
        <v/>
      </c>
      <c r="AB59" s="16" t="str">
        <f>IF(AND(AB$10&gt;=$D59,AB$11&lt;=$E59),VLOOKUP($F59,$K$2:AP$8,AB$1,"Falsch"),"")</f>
        <v/>
      </c>
      <c r="AC59" s="16" t="str">
        <f>IF(AND(AC$10&gt;=$D59,AC$11&lt;=$E59),VLOOKUP($F59,$K$2:AQ$8,AC$1,"Falsch"),"")</f>
        <v/>
      </c>
      <c r="AD59" s="16" t="str">
        <f>IF(AND(AD$10&gt;=$D59,AD$11&lt;=$E59),VLOOKUP($F59,$K$2:AR$8,AD$1,"Falsch"),"")</f>
        <v/>
      </c>
    </row>
    <row r="60" spans="9:30" x14ac:dyDescent="0.25">
      <c r="I60" s="21">
        <f t="shared" si="8"/>
        <v>0</v>
      </c>
      <c r="K60" s="25">
        <f t="shared" si="9"/>
        <v>0</v>
      </c>
      <c r="L60" s="16" t="str">
        <f>IF(AND(L$10&gt;=$D60,L$11&lt;=$E60),VLOOKUP($F60,$K$2:Z$8,L$1,"Falsch"),"")</f>
        <v/>
      </c>
      <c r="M60" s="16" t="str">
        <f>IF(AND(M$10&gt;=$D60,M$11&lt;=$E60),VLOOKUP($F60,$K$2:AA$8,M$1,"Falsch"),"")</f>
        <v/>
      </c>
      <c r="N60" s="16" t="str">
        <f>IF(AND(N$10&gt;=$D60,N$11&lt;=$E60),VLOOKUP($F60,$K$2:AB$8,N$1,"Falsch"),"")</f>
        <v/>
      </c>
      <c r="O60" s="16" t="str">
        <f>IF(AND(O$10&gt;=$D60,O$11&lt;=$E60),VLOOKUP($F60,$K$2:AC$8,O$1,"Falsch"),"")</f>
        <v/>
      </c>
      <c r="P60" s="16" t="str">
        <f>IF(AND(P$10&gt;=$D60,P$11&lt;=$E60),VLOOKUP($F60,$K$2:AD$8,P$1,"Falsch"),"")</f>
        <v/>
      </c>
      <c r="Q60" s="16" t="str">
        <f>IF(AND(Q$10&gt;=$D60,Q$11&lt;=$E60),VLOOKUP($F60,$K$2:AE$8,Q$1,"Falsch"),"")</f>
        <v/>
      </c>
      <c r="R60" s="16" t="str">
        <f>IF(AND(R$10&gt;=$D60,R$11&lt;=$E60),VLOOKUP($F60,$K$2:AF$8,R$1,"Falsch"),"")</f>
        <v/>
      </c>
      <c r="S60" s="16" t="str">
        <f>IF(AND(S$10&gt;=$D60,S$11&lt;=$E60),VLOOKUP($F60,$K$2:AG$8,S$1,"Falsch"),"")</f>
        <v/>
      </c>
      <c r="T60" s="16" t="str">
        <f>IF(AND(T$10&gt;=$D60,T$11&lt;=$E60),VLOOKUP($F60,$K$2:AH$8,T$1,"Falsch"),"")</f>
        <v/>
      </c>
      <c r="U60" s="16" t="str">
        <f>IF(AND(U$10&gt;=$D60,U$11&lt;=$E60),VLOOKUP($F60,$K$2:AI$8,U$1,"Falsch"),"")</f>
        <v/>
      </c>
      <c r="V60" s="16" t="str">
        <f>IF(AND(V$10&gt;=$D60,V$11&lt;=$E60),VLOOKUP($F60,$K$2:AJ$8,V$1,"Falsch"),"")</f>
        <v/>
      </c>
      <c r="W60" s="16" t="str">
        <f>IF(AND(W$10&gt;=$D60,W$11&lt;=$E60),VLOOKUP($F60,$K$2:AK$8,W$1,"Falsch"),"")</f>
        <v/>
      </c>
      <c r="X60" s="16" t="str">
        <f>IF(AND(X$10&gt;=$D60,X$11&lt;=$E60),VLOOKUP($F60,$K$2:AL$8,X$1,"Falsch"),"")</f>
        <v/>
      </c>
      <c r="Y60" s="16" t="str">
        <f>IF(AND(Y$10&gt;=$D60,Y$11&lt;=$E60),VLOOKUP($F60,$K$2:AM$8,Y$1,"Falsch"),"")</f>
        <v/>
      </c>
      <c r="Z60" s="16" t="str">
        <f>IF(AND(Z$10&gt;=$D60,Z$11&lt;=$E60),VLOOKUP($F60,$K$2:AN$8,Z$1,"Falsch"),"")</f>
        <v/>
      </c>
      <c r="AA60" s="16" t="str">
        <f>IF(AND(AA$10&gt;=$D60,AA$11&lt;=$E60),VLOOKUP($F60,$K$2:AO$8,AA$1,"Falsch"),"")</f>
        <v/>
      </c>
      <c r="AB60" s="16" t="str">
        <f>IF(AND(AB$10&gt;=$D60,AB$11&lt;=$E60),VLOOKUP($F60,$K$2:AP$8,AB$1,"Falsch"),"")</f>
        <v/>
      </c>
      <c r="AC60" s="16" t="str">
        <f>IF(AND(AC$10&gt;=$D60,AC$11&lt;=$E60),VLOOKUP($F60,$K$2:AQ$8,AC$1,"Falsch"),"")</f>
        <v/>
      </c>
      <c r="AD60" s="16" t="str">
        <f>IF(AND(AD$10&gt;=$D60,AD$11&lt;=$E60),VLOOKUP($F60,$K$2:AR$8,AD$1,"Falsch"),"")</f>
        <v/>
      </c>
    </row>
    <row r="61" spans="9:30" x14ac:dyDescent="0.25">
      <c r="I61" s="21">
        <f t="shared" si="8"/>
        <v>0</v>
      </c>
      <c r="K61" s="25">
        <f t="shared" si="9"/>
        <v>0</v>
      </c>
      <c r="L61" s="16" t="str">
        <f>IF(AND(L$10&gt;=$D61,L$11&lt;=$E61),VLOOKUP($F61,$K$2:Z$8,L$1,"Falsch"),"")</f>
        <v/>
      </c>
      <c r="M61" s="16" t="str">
        <f>IF(AND(M$10&gt;=$D61,M$11&lt;=$E61),VLOOKUP($F61,$K$2:AA$8,M$1,"Falsch"),"")</f>
        <v/>
      </c>
      <c r="N61" s="16" t="str">
        <f>IF(AND(N$10&gt;=$D61,N$11&lt;=$E61),VLOOKUP($F61,$K$2:AB$8,N$1,"Falsch"),"")</f>
        <v/>
      </c>
      <c r="O61" s="16" t="str">
        <f>IF(AND(O$10&gt;=$D61,O$11&lt;=$E61),VLOOKUP($F61,$K$2:AC$8,O$1,"Falsch"),"")</f>
        <v/>
      </c>
      <c r="P61" s="16" t="str">
        <f>IF(AND(P$10&gt;=$D61,P$11&lt;=$E61),VLOOKUP($F61,$K$2:AD$8,P$1,"Falsch"),"")</f>
        <v/>
      </c>
      <c r="Q61" s="16" t="str">
        <f>IF(AND(Q$10&gt;=$D61,Q$11&lt;=$E61),VLOOKUP($F61,$K$2:AE$8,Q$1,"Falsch"),"")</f>
        <v/>
      </c>
      <c r="R61" s="16" t="str">
        <f>IF(AND(R$10&gt;=$D61,R$11&lt;=$E61),VLOOKUP($F61,$K$2:AF$8,R$1,"Falsch"),"")</f>
        <v/>
      </c>
      <c r="S61" s="16" t="str">
        <f>IF(AND(S$10&gt;=$D61,S$11&lt;=$E61),VLOOKUP($F61,$K$2:AG$8,S$1,"Falsch"),"")</f>
        <v/>
      </c>
      <c r="T61" s="16" t="str">
        <f>IF(AND(T$10&gt;=$D61,T$11&lt;=$E61),VLOOKUP($F61,$K$2:AH$8,T$1,"Falsch"),"")</f>
        <v/>
      </c>
      <c r="U61" s="16" t="str">
        <f>IF(AND(U$10&gt;=$D61,U$11&lt;=$E61),VLOOKUP($F61,$K$2:AI$8,U$1,"Falsch"),"")</f>
        <v/>
      </c>
      <c r="V61" s="16" t="str">
        <f>IF(AND(V$10&gt;=$D61,V$11&lt;=$E61),VLOOKUP($F61,$K$2:AJ$8,V$1,"Falsch"),"")</f>
        <v/>
      </c>
      <c r="W61" s="16" t="str">
        <f>IF(AND(W$10&gt;=$D61,W$11&lt;=$E61),VLOOKUP($F61,$K$2:AK$8,W$1,"Falsch"),"")</f>
        <v/>
      </c>
      <c r="X61" s="16" t="str">
        <f>IF(AND(X$10&gt;=$D61,X$11&lt;=$E61),VLOOKUP($F61,$K$2:AL$8,X$1,"Falsch"),"")</f>
        <v/>
      </c>
      <c r="Y61" s="16" t="str">
        <f>IF(AND(Y$10&gt;=$D61,Y$11&lt;=$E61),VLOOKUP($F61,$K$2:AM$8,Y$1,"Falsch"),"")</f>
        <v/>
      </c>
      <c r="Z61" s="16" t="str">
        <f>IF(AND(Z$10&gt;=$D61,Z$11&lt;=$E61),VLOOKUP($F61,$K$2:AN$8,Z$1,"Falsch"),"")</f>
        <v/>
      </c>
      <c r="AA61" s="16" t="str">
        <f>IF(AND(AA$10&gt;=$D61,AA$11&lt;=$E61),VLOOKUP($F61,$K$2:AO$8,AA$1,"Falsch"),"")</f>
        <v/>
      </c>
      <c r="AB61" s="16" t="str">
        <f>IF(AND(AB$10&gt;=$D61,AB$11&lt;=$E61),VLOOKUP($F61,$K$2:AP$8,AB$1,"Falsch"),"")</f>
        <v/>
      </c>
      <c r="AC61" s="16" t="str">
        <f>IF(AND(AC$10&gt;=$D61,AC$11&lt;=$E61),VLOOKUP($F61,$K$2:AQ$8,AC$1,"Falsch"),"")</f>
        <v/>
      </c>
      <c r="AD61" s="16" t="str">
        <f>IF(AND(AD$10&gt;=$D61,AD$11&lt;=$E61),VLOOKUP($F61,$K$2:AR$8,AD$1,"Falsch"),"")</f>
        <v/>
      </c>
    </row>
    <row r="62" spans="9:30" x14ac:dyDescent="0.25">
      <c r="I62" s="21">
        <f t="shared" si="8"/>
        <v>0</v>
      </c>
      <c r="K62" s="25">
        <f t="shared" si="9"/>
        <v>0</v>
      </c>
      <c r="L62" s="16" t="str">
        <f>IF(AND(L$10&gt;=$D62,L$11&lt;=$E62),VLOOKUP($F62,$K$2:Z$8,L$1,"Falsch"),"")</f>
        <v/>
      </c>
      <c r="M62" s="16" t="str">
        <f>IF(AND(M$10&gt;=$D62,M$11&lt;=$E62),VLOOKUP($F62,$K$2:AA$8,M$1,"Falsch"),"")</f>
        <v/>
      </c>
      <c r="N62" s="16" t="str">
        <f>IF(AND(N$10&gt;=$D62,N$11&lt;=$E62),VLOOKUP($F62,$K$2:AB$8,N$1,"Falsch"),"")</f>
        <v/>
      </c>
      <c r="O62" s="16" t="str">
        <f>IF(AND(O$10&gt;=$D62,O$11&lt;=$E62),VLOOKUP($F62,$K$2:AC$8,O$1,"Falsch"),"")</f>
        <v/>
      </c>
      <c r="P62" s="16" t="str">
        <f>IF(AND(P$10&gt;=$D62,P$11&lt;=$E62),VLOOKUP($F62,$K$2:AD$8,P$1,"Falsch"),"")</f>
        <v/>
      </c>
      <c r="Q62" s="16" t="str">
        <f>IF(AND(Q$10&gt;=$D62,Q$11&lt;=$E62),VLOOKUP($F62,$K$2:AE$8,Q$1,"Falsch"),"")</f>
        <v/>
      </c>
      <c r="R62" s="16" t="str">
        <f>IF(AND(R$10&gt;=$D62,R$11&lt;=$E62),VLOOKUP($F62,$K$2:AF$8,R$1,"Falsch"),"")</f>
        <v/>
      </c>
      <c r="S62" s="16" t="str">
        <f>IF(AND(S$10&gt;=$D62,S$11&lt;=$E62),VLOOKUP($F62,$K$2:AG$8,S$1,"Falsch"),"")</f>
        <v/>
      </c>
      <c r="T62" s="16" t="str">
        <f>IF(AND(T$10&gt;=$D62,T$11&lt;=$E62),VLOOKUP($F62,$K$2:AH$8,T$1,"Falsch"),"")</f>
        <v/>
      </c>
      <c r="U62" s="16" t="str">
        <f>IF(AND(U$10&gt;=$D62,U$11&lt;=$E62),VLOOKUP($F62,$K$2:AI$8,U$1,"Falsch"),"")</f>
        <v/>
      </c>
      <c r="V62" s="16" t="str">
        <f>IF(AND(V$10&gt;=$D62,V$11&lt;=$E62),VLOOKUP($F62,$K$2:AJ$8,V$1,"Falsch"),"")</f>
        <v/>
      </c>
      <c r="W62" s="16" t="str">
        <f>IF(AND(W$10&gt;=$D62,W$11&lt;=$E62),VLOOKUP($F62,$K$2:AK$8,W$1,"Falsch"),"")</f>
        <v/>
      </c>
      <c r="X62" s="16" t="str">
        <f>IF(AND(X$10&gt;=$D62,X$11&lt;=$E62),VLOOKUP($F62,$K$2:AL$8,X$1,"Falsch"),"")</f>
        <v/>
      </c>
      <c r="Y62" s="16" t="str">
        <f>IF(AND(Y$10&gt;=$D62,Y$11&lt;=$E62),VLOOKUP($F62,$K$2:AM$8,Y$1,"Falsch"),"")</f>
        <v/>
      </c>
      <c r="Z62" s="16" t="str">
        <f>IF(AND(Z$10&gt;=$D62,Z$11&lt;=$E62),VLOOKUP($F62,$K$2:AN$8,Z$1,"Falsch"),"")</f>
        <v/>
      </c>
      <c r="AA62" s="16" t="str">
        <f>IF(AND(AA$10&gt;=$D62,AA$11&lt;=$E62),VLOOKUP($F62,$K$2:AO$8,AA$1,"Falsch"),"")</f>
        <v/>
      </c>
      <c r="AB62" s="16" t="str">
        <f>IF(AND(AB$10&gt;=$D62,AB$11&lt;=$E62),VLOOKUP($F62,$K$2:AP$8,AB$1,"Falsch"),"")</f>
        <v/>
      </c>
      <c r="AC62" s="16" t="str">
        <f>IF(AND(AC$10&gt;=$D62,AC$11&lt;=$E62),VLOOKUP($F62,$K$2:AQ$8,AC$1,"Falsch"),"")</f>
        <v/>
      </c>
      <c r="AD62" s="16" t="str">
        <f>IF(AND(AD$10&gt;=$D62,AD$11&lt;=$E62),VLOOKUP($F62,$K$2:AR$8,AD$1,"Falsch"),"")</f>
        <v/>
      </c>
    </row>
    <row r="63" spans="9:30" x14ac:dyDescent="0.25">
      <c r="I63" s="21">
        <f t="shared" si="8"/>
        <v>0</v>
      </c>
      <c r="K63" s="25">
        <f t="shared" si="9"/>
        <v>0</v>
      </c>
      <c r="L63" s="16" t="str">
        <f>IF(AND(L$10&gt;=$D63,L$11&lt;=$E63),VLOOKUP($F63,$K$2:Z$8,L$1,"Falsch"),"")</f>
        <v/>
      </c>
      <c r="M63" s="16" t="str">
        <f>IF(AND(M$10&gt;=$D63,M$11&lt;=$E63),VLOOKUP($F63,$K$2:AA$8,M$1,"Falsch"),"")</f>
        <v/>
      </c>
      <c r="N63" s="16" t="str">
        <f>IF(AND(N$10&gt;=$D63,N$11&lt;=$E63),VLOOKUP($F63,$K$2:AB$8,N$1,"Falsch"),"")</f>
        <v/>
      </c>
      <c r="O63" s="16" t="str">
        <f>IF(AND(O$10&gt;=$D63,O$11&lt;=$E63),VLOOKUP($F63,$K$2:AC$8,O$1,"Falsch"),"")</f>
        <v/>
      </c>
      <c r="P63" s="16" t="str">
        <f>IF(AND(P$10&gt;=$D63,P$11&lt;=$E63),VLOOKUP($F63,$K$2:AD$8,P$1,"Falsch"),"")</f>
        <v/>
      </c>
      <c r="Q63" s="16" t="str">
        <f>IF(AND(Q$10&gt;=$D63,Q$11&lt;=$E63),VLOOKUP($F63,$K$2:AE$8,Q$1,"Falsch"),"")</f>
        <v/>
      </c>
      <c r="R63" s="16" t="str">
        <f>IF(AND(R$10&gt;=$D63,R$11&lt;=$E63),VLOOKUP($F63,$K$2:AF$8,R$1,"Falsch"),"")</f>
        <v/>
      </c>
      <c r="S63" s="16" t="str">
        <f>IF(AND(S$10&gt;=$D63,S$11&lt;=$E63),VLOOKUP($F63,$K$2:AG$8,S$1,"Falsch"),"")</f>
        <v/>
      </c>
      <c r="T63" s="16" t="str">
        <f>IF(AND(T$10&gt;=$D63,T$11&lt;=$E63),VLOOKUP($F63,$K$2:AH$8,T$1,"Falsch"),"")</f>
        <v/>
      </c>
      <c r="U63" s="16" t="str">
        <f>IF(AND(U$10&gt;=$D63,U$11&lt;=$E63),VLOOKUP($F63,$K$2:AI$8,U$1,"Falsch"),"")</f>
        <v/>
      </c>
      <c r="V63" s="16" t="str">
        <f>IF(AND(V$10&gt;=$D63,V$11&lt;=$E63),VLOOKUP($F63,$K$2:AJ$8,V$1,"Falsch"),"")</f>
        <v/>
      </c>
      <c r="W63" s="16" t="str">
        <f>IF(AND(W$10&gt;=$D63,W$11&lt;=$E63),VLOOKUP($F63,$K$2:AK$8,W$1,"Falsch"),"")</f>
        <v/>
      </c>
      <c r="X63" s="16" t="str">
        <f>IF(AND(X$10&gt;=$D63,X$11&lt;=$E63),VLOOKUP($F63,$K$2:AL$8,X$1,"Falsch"),"")</f>
        <v/>
      </c>
      <c r="Y63" s="16" t="str">
        <f>IF(AND(Y$10&gt;=$D63,Y$11&lt;=$E63),VLOOKUP($F63,$K$2:AM$8,Y$1,"Falsch"),"")</f>
        <v/>
      </c>
      <c r="Z63" s="16" t="str">
        <f>IF(AND(Z$10&gt;=$D63,Z$11&lt;=$E63),VLOOKUP($F63,$K$2:AN$8,Z$1,"Falsch"),"")</f>
        <v/>
      </c>
      <c r="AA63" s="16" t="str">
        <f>IF(AND(AA$10&gt;=$D63,AA$11&lt;=$E63),VLOOKUP($F63,$K$2:AO$8,AA$1,"Falsch"),"")</f>
        <v/>
      </c>
      <c r="AB63" s="16" t="str">
        <f>IF(AND(AB$10&gt;=$D63,AB$11&lt;=$E63),VLOOKUP($F63,$K$2:AP$8,AB$1,"Falsch"),"")</f>
        <v/>
      </c>
      <c r="AC63" s="16" t="str">
        <f>IF(AND(AC$10&gt;=$D63,AC$11&lt;=$E63),VLOOKUP($F63,$K$2:AQ$8,AC$1,"Falsch"),"")</f>
        <v/>
      </c>
      <c r="AD63" s="16" t="str">
        <f>IF(AND(AD$10&gt;=$D63,AD$11&lt;=$E63),VLOOKUP($F63,$K$2:AR$8,AD$1,"Falsch"),"")</f>
        <v/>
      </c>
    </row>
    <row r="64" spans="9:30" x14ac:dyDescent="0.25">
      <c r="I64" s="21">
        <f t="shared" si="8"/>
        <v>0</v>
      </c>
      <c r="K64" s="25">
        <f t="shared" si="9"/>
        <v>0</v>
      </c>
      <c r="L64" s="16" t="str">
        <f>IF(AND(L$10&gt;=$D64,L$11&lt;=$E64),VLOOKUP($F64,$K$2:Z$8,L$1,"Falsch"),"")</f>
        <v/>
      </c>
      <c r="M64" s="16" t="str">
        <f>IF(AND(M$10&gt;=$D64,M$11&lt;=$E64),VLOOKUP($F64,$K$2:AA$8,M$1,"Falsch"),"")</f>
        <v/>
      </c>
      <c r="N64" s="16" t="str">
        <f>IF(AND(N$10&gt;=$D64,N$11&lt;=$E64),VLOOKUP($F64,$K$2:AB$8,N$1,"Falsch"),"")</f>
        <v/>
      </c>
      <c r="O64" s="16" t="str">
        <f>IF(AND(O$10&gt;=$D64,O$11&lt;=$E64),VLOOKUP($F64,$K$2:AC$8,O$1,"Falsch"),"")</f>
        <v/>
      </c>
      <c r="P64" s="16" t="str">
        <f>IF(AND(P$10&gt;=$D64,P$11&lt;=$E64),VLOOKUP($F64,$K$2:AD$8,P$1,"Falsch"),"")</f>
        <v/>
      </c>
      <c r="Q64" s="16" t="str">
        <f>IF(AND(Q$10&gt;=$D64,Q$11&lt;=$E64),VLOOKUP($F64,$K$2:AE$8,Q$1,"Falsch"),"")</f>
        <v/>
      </c>
      <c r="R64" s="16" t="str">
        <f>IF(AND(R$10&gt;=$D64,R$11&lt;=$E64),VLOOKUP($F64,$K$2:AF$8,R$1,"Falsch"),"")</f>
        <v/>
      </c>
      <c r="S64" s="16" t="str">
        <f>IF(AND(S$10&gt;=$D64,S$11&lt;=$E64),VLOOKUP($F64,$K$2:AG$8,S$1,"Falsch"),"")</f>
        <v/>
      </c>
      <c r="T64" s="16" t="str">
        <f>IF(AND(T$10&gt;=$D64,T$11&lt;=$E64),VLOOKUP($F64,$K$2:AH$8,T$1,"Falsch"),"")</f>
        <v/>
      </c>
      <c r="U64" s="16" t="str">
        <f>IF(AND(U$10&gt;=$D64,U$11&lt;=$E64),VLOOKUP($F64,$K$2:AI$8,U$1,"Falsch"),"")</f>
        <v/>
      </c>
      <c r="V64" s="16" t="str">
        <f>IF(AND(V$10&gt;=$D64,V$11&lt;=$E64),VLOOKUP($F64,$K$2:AJ$8,V$1,"Falsch"),"")</f>
        <v/>
      </c>
      <c r="W64" s="16" t="str">
        <f>IF(AND(W$10&gt;=$D64,W$11&lt;=$E64),VLOOKUP($F64,$K$2:AK$8,W$1,"Falsch"),"")</f>
        <v/>
      </c>
      <c r="X64" s="16" t="str">
        <f>IF(AND(X$10&gt;=$D64,X$11&lt;=$E64),VLOOKUP($F64,$K$2:AL$8,X$1,"Falsch"),"")</f>
        <v/>
      </c>
      <c r="Y64" s="16" t="str">
        <f>IF(AND(Y$10&gt;=$D64,Y$11&lt;=$E64),VLOOKUP($F64,$K$2:AM$8,Y$1,"Falsch"),"")</f>
        <v/>
      </c>
      <c r="Z64" s="16" t="str">
        <f>IF(AND(Z$10&gt;=$D64,Z$11&lt;=$E64),VLOOKUP($F64,$K$2:AN$8,Z$1,"Falsch"),"")</f>
        <v/>
      </c>
      <c r="AA64" s="16" t="str">
        <f>IF(AND(AA$10&gt;=$D64,AA$11&lt;=$E64),VLOOKUP($F64,$K$2:AO$8,AA$1,"Falsch"),"")</f>
        <v/>
      </c>
      <c r="AB64" s="16" t="str">
        <f>IF(AND(AB$10&gt;=$D64,AB$11&lt;=$E64),VLOOKUP($F64,$K$2:AP$8,AB$1,"Falsch"),"")</f>
        <v/>
      </c>
      <c r="AC64" s="16" t="str">
        <f>IF(AND(AC$10&gt;=$D64,AC$11&lt;=$E64),VLOOKUP($F64,$K$2:AQ$8,AC$1,"Falsch"),"")</f>
        <v/>
      </c>
      <c r="AD64" s="16" t="str">
        <f>IF(AND(AD$10&gt;=$D64,AD$11&lt;=$E64),VLOOKUP($F64,$K$2:AR$8,AD$1,"Falsch"),"")</f>
        <v/>
      </c>
    </row>
    <row r="65" spans="9:30" x14ac:dyDescent="0.25">
      <c r="I65" s="21">
        <f t="shared" si="8"/>
        <v>0</v>
      </c>
      <c r="K65" s="25">
        <f t="shared" si="9"/>
        <v>0</v>
      </c>
      <c r="L65" s="16" t="str">
        <f>IF(AND(L$10&gt;=$D65,L$11&lt;=$E65),VLOOKUP($F65,$K$2:Z$8,L$1,"Falsch"),"")</f>
        <v/>
      </c>
      <c r="M65" s="16" t="str">
        <f>IF(AND(M$10&gt;=$D65,M$11&lt;=$E65),VLOOKUP($F65,$K$2:AA$8,M$1,"Falsch"),"")</f>
        <v/>
      </c>
      <c r="N65" s="16" t="str">
        <f>IF(AND(N$10&gt;=$D65,N$11&lt;=$E65),VLOOKUP($F65,$K$2:AB$8,N$1,"Falsch"),"")</f>
        <v/>
      </c>
      <c r="O65" s="16" t="str">
        <f>IF(AND(O$10&gt;=$D65,O$11&lt;=$E65),VLOOKUP($F65,$K$2:AC$8,O$1,"Falsch"),"")</f>
        <v/>
      </c>
      <c r="P65" s="16" t="str">
        <f>IF(AND(P$10&gt;=$D65,P$11&lt;=$E65),VLOOKUP($F65,$K$2:AD$8,P$1,"Falsch"),"")</f>
        <v/>
      </c>
      <c r="Q65" s="16" t="str">
        <f>IF(AND(Q$10&gt;=$D65,Q$11&lt;=$E65),VLOOKUP($F65,$K$2:AE$8,Q$1,"Falsch"),"")</f>
        <v/>
      </c>
      <c r="R65" s="16" t="str">
        <f>IF(AND(R$10&gt;=$D65,R$11&lt;=$E65),VLOOKUP($F65,$K$2:AF$8,R$1,"Falsch"),"")</f>
        <v/>
      </c>
      <c r="S65" s="16" t="str">
        <f>IF(AND(S$10&gt;=$D65,S$11&lt;=$E65),VLOOKUP($F65,$K$2:AG$8,S$1,"Falsch"),"")</f>
        <v/>
      </c>
      <c r="T65" s="16" t="str">
        <f>IF(AND(T$10&gt;=$D65,T$11&lt;=$E65),VLOOKUP($F65,$K$2:AH$8,T$1,"Falsch"),"")</f>
        <v/>
      </c>
      <c r="U65" s="16" t="str">
        <f>IF(AND(U$10&gt;=$D65,U$11&lt;=$E65),VLOOKUP($F65,$K$2:AI$8,U$1,"Falsch"),"")</f>
        <v/>
      </c>
      <c r="V65" s="16" t="str">
        <f>IF(AND(V$10&gt;=$D65,V$11&lt;=$E65),VLOOKUP($F65,$K$2:AJ$8,V$1,"Falsch"),"")</f>
        <v/>
      </c>
      <c r="W65" s="16" t="str">
        <f>IF(AND(W$10&gt;=$D65,W$11&lt;=$E65),VLOOKUP($F65,$K$2:AK$8,W$1,"Falsch"),"")</f>
        <v/>
      </c>
      <c r="X65" s="16" t="str">
        <f>IF(AND(X$10&gt;=$D65,X$11&lt;=$E65),VLOOKUP($F65,$K$2:AL$8,X$1,"Falsch"),"")</f>
        <v/>
      </c>
      <c r="Y65" s="16" t="str">
        <f>IF(AND(Y$10&gt;=$D65,Y$11&lt;=$E65),VLOOKUP($F65,$K$2:AM$8,Y$1,"Falsch"),"")</f>
        <v/>
      </c>
      <c r="Z65" s="16" t="str">
        <f>IF(AND(Z$10&gt;=$D65,Z$11&lt;=$E65),VLOOKUP($F65,$K$2:AN$8,Z$1,"Falsch"),"")</f>
        <v/>
      </c>
      <c r="AA65" s="16" t="str">
        <f>IF(AND(AA$10&gt;=$D65,AA$11&lt;=$E65),VLOOKUP($F65,$K$2:AO$8,AA$1,"Falsch"),"")</f>
        <v/>
      </c>
      <c r="AB65" s="16" t="str">
        <f>IF(AND(AB$10&gt;=$D65,AB$11&lt;=$E65),VLOOKUP($F65,$K$2:AP$8,AB$1,"Falsch"),"")</f>
        <v/>
      </c>
      <c r="AC65" s="16" t="str">
        <f>IF(AND(AC$10&gt;=$D65,AC$11&lt;=$E65),VLOOKUP($F65,$K$2:AQ$8,AC$1,"Falsch"),"")</f>
        <v/>
      </c>
      <c r="AD65" s="16" t="str">
        <f>IF(AND(AD$10&gt;=$D65,AD$11&lt;=$E65),VLOOKUP($F65,$K$2:AR$8,AD$1,"Falsch"),"")</f>
        <v/>
      </c>
    </row>
    <row r="66" spans="9:30" x14ac:dyDescent="0.25">
      <c r="I66" s="21">
        <f t="shared" si="8"/>
        <v>0</v>
      </c>
      <c r="K66" s="25">
        <f t="shared" si="9"/>
        <v>0</v>
      </c>
      <c r="L66" s="16" t="str">
        <f>IF(AND(L$10&gt;=$D66,L$11&lt;=$E66),VLOOKUP($F66,$K$2:Z$8,L$1,"Falsch"),"")</f>
        <v/>
      </c>
      <c r="M66" s="16" t="str">
        <f>IF(AND(M$10&gt;=$D66,M$11&lt;=$E66),VLOOKUP($F66,$K$2:AA$8,M$1,"Falsch"),"")</f>
        <v/>
      </c>
      <c r="N66" s="16" t="str">
        <f>IF(AND(N$10&gt;=$D66,N$11&lt;=$E66),VLOOKUP($F66,$K$2:AB$8,N$1,"Falsch"),"")</f>
        <v/>
      </c>
      <c r="O66" s="16" t="str">
        <f>IF(AND(O$10&gt;=$D66,O$11&lt;=$E66),VLOOKUP($F66,$K$2:AC$8,O$1,"Falsch"),"")</f>
        <v/>
      </c>
      <c r="P66" s="16" t="str">
        <f>IF(AND(P$10&gt;=$D66,P$11&lt;=$E66),VLOOKUP($F66,$K$2:AD$8,P$1,"Falsch"),"")</f>
        <v/>
      </c>
      <c r="Q66" s="16" t="str">
        <f>IF(AND(Q$10&gt;=$D66,Q$11&lt;=$E66),VLOOKUP($F66,$K$2:AE$8,Q$1,"Falsch"),"")</f>
        <v/>
      </c>
      <c r="R66" s="16" t="str">
        <f>IF(AND(R$10&gt;=$D66,R$11&lt;=$E66),VLOOKUP($F66,$K$2:AF$8,R$1,"Falsch"),"")</f>
        <v/>
      </c>
      <c r="S66" s="16" t="str">
        <f>IF(AND(S$10&gt;=$D66,S$11&lt;=$E66),VLOOKUP($F66,$K$2:AG$8,S$1,"Falsch"),"")</f>
        <v/>
      </c>
      <c r="T66" s="16" t="str">
        <f>IF(AND(T$10&gt;=$D66,T$11&lt;=$E66),VLOOKUP($F66,$K$2:AH$8,T$1,"Falsch"),"")</f>
        <v/>
      </c>
      <c r="U66" s="16" t="str">
        <f>IF(AND(U$10&gt;=$D66,U$11&lt;=$E66),VLOOKUP($F66,$K$2:AI$8,U$1,"Falsch"),"")</f>
        <v/>
      </c>
      <c r="V66" s="16" t="str">
        <f>IF(AND(V$10&gt;=$D66,V$11&lt;=$E66),VLOOKUP($F66,$K$2:AJ$8,V$1,"Falsch"),"")</f>
        <v/>
      </c>
      <c r="W66" s="16" t="str">
        <f>IF(AND(W$10&gt;=$D66,W$11&lt;=$E66),VLOOKUP($F66,$K$2:AK$8,W$1,"Falsch"),"")</f>
        <v/>
      </c>
      <c r="X66" s="16" t="str">
        <f>IF(AND(X$10&gt;=$D66,X$11&lt;=$E66),VLOOKUP($F66,$K$2:AL$8,X$1,"Falsch"),"")</f>
        <v/>
      </c>
      <c r="Y66" s="16" t="str">
        <f>IF(AND(Y$10&gt;=$D66,Y$11&lt;=$E66),VLOOKUP($F66,$K$2:AM$8,Y$1,"Falsch"),"")</f>
        <v/>
      </c>
      <c r="Z66" s="16" t="str">
        <f>IF(AND(Z$10&gt;=$D66,Z$11&lt;=$E66),VLOOKUP($F66,$K$2:AN$8,Z$1,"Falsch"),"")</f>
        <v/>
      </c>
      <c r="AA66" s="16" t="str">
        <f>IF(AND(AA$10&gt;=$D66,AA$11&lt;=$E66),VLOOKUP($F66,$K$2:AO$8,AA$1,"Falsch"),"")</f>
        <v/>
      </c>
      <c r="AB66" s="16" t="str">
        <f>IF(AND(AB$10&gt;=$D66,AB$11&lt;=$E66),VLOOKUP($F66,$K$2:AP$8,AB$1,"Falsch"),"")</f>
        <v/>
      </c>
      <c r="AC66" s="16" t="str">
        <f>IF(AND(AC$10&gt;=$D66,AC$11&lt;=$E66),VLOOKUP($F66,$K$2:AQ$8,AC$1,"Falsch"),"")</f>
        <v/>
      </c>
      <c r="AD66" s="16" t="str">
        <f>IF(AND(AD$10&gt;=$D66,AD$11&lt;=$E66),VLOOKUP($F66,$K$2:AR$8,AD$1,"Falsch"),"")</f>
        <v/>
      </c>
    </row>
    <row r="67" spans="9:30" x14ac:dyDescent="0.25">
      <c r="I67" s="21">
        <f t="shared" si="8"/>
        <v>0</v>
      </c>
      <c r="K67" s="25">
        <f t="shared" si="9"/>
        <v>0</v>
      </c>
      <c r="L67" s="16" t="str">
        <f>IF(AND(L$10&gt;=$D67,L$11&lt;=$E67),VLOOKUP($F67,$K$2:Z$8,L$1,"Falsch"),"")</f>
        <v/>
      </c>
      <c r="M67" s="16" t="str">
        <f>IF(AND(M$10&gt;=$D67,M$11&lt;=$E67),VLOOKUP($F67,$K$2:AA$8,M$1,"Falsch"),"")</f>
        <v/>
      </c>
      <c r="N67" s="16" t="str">
        <f>IF(AND(N$10&gt;=$D67,N$11&lt;=$E67),VLOOKUP($F67,$K$2:AB$8,N$1,"Falsch"),"")</f>
        <v/>
      </c>
      <c r="O67" s="16" t="str">
        <f>IF(AND(O$10&gt;=$D67,O$11&lt;=$E67),VLOOKUP($F67,$K$2:AC$8,O$1,"Falsch"),"")</f>
        <v/>
      </c>
      <c r="P67" s="16" t="str">
        <f>IF(AND(P$10&gt;=$D67,P$11&lt;=$E67),VLOOKUP($F67,$K$2:AD$8,P$1,"Falsch"),"")</f>
        <v/>
      </c>
      <c r="Q67" s="16" t="str">
        <f>IF(AND(Q$10&gt;=$D67,Q$11&lt;=$E67),VLOOKUP($F67,$K$2:AE$8,Q$1,"Falsch"),"")</f>
        <v/>
      </c>
      <c r="R67" s="16" t="str">
        <f>IF(AND(R$10&gt;=$D67,R$11&lt;=$E67),VLOOKUP($F67,$K$2:AF$8,R$1,"Falsch"),"")</f>
        <v/>
      </c>
      <c r="S67" s="16" t="str">
        <f>IF(AND(S$10&gt;=$D67,S$11&lt;=$E67),VLOOKUP($F67,$K$2:AG$8,S$1,"Falsch"),"")</f>
        <v/>
      </c>
      <c r="T67" s="16" t="str">
        <f>IF(AND(T$10&gt;=$D67,T$11&lt;=$E67),VLOOKUP($F67,$K$2:AH$8,T$1,"Falsch"),"")</f>
        <v/>
      </c>
      <c r="U67" s="16" t="str">
        <f>IF(AND(U$10&gt;=$D67,U$11&lt;=$E67),VLOOKUP($F67,$K$2:AI$8,U$1,"Falsch"),"")</f>
        <v/>
      </c>
      <c r="V67" s="16" t="str">
        <f>IF(AND(V$10&gt;=$D67,V$11&lt;=$E67),VLOOKUP($F67,$K$2:AJ$8,V$1,"Falsch"),"")</f>
        <v/>
      </c>
      <c r="W67" s="16" t="str">
        <f>IF(AND(W$10&gt;=$D67,W$11&lt;=$E67),VLOOKUP($F67,$K$2:AK$8,W$1,"Falsch"),"")</f>
        <v/>
      </c>
      <c r="X67" s="16" t="str">
        <f>IF(AND(X$10&gt;=$D67,X$11&lt;=$E67),VLOOKUP($F67,$K$2:AL$8,X$1,"Falsch"),"")</f>
        <v/>
      </c>
      <c r="Y67" s="16" t="str">
        <f>IF(AND(Y$10&gt;=$D67,Y$11&lt;=$E67),VLOOKUP($F67,$K$2:AM$8,Y$1,"Falsch"),"")</f>
        <v/>
      </c>
      <c r="Z67" s="16" t="str">
        <f>IF(AND(Z$10&gt;=$D67,Z$11&lt;=$E67),VLOOKUP($F67,$K$2:AN$8,Z$1,"Falsch"),"")</f>
        <v/>
      </c>
      <c r="AA67" s="16" t="str">
        <f>IF(AND(AA$10&gt;=$D67,AA$11&lt;=$E67),VLOOKUP($F67,$K$2:AO$8,AA$1,"Falsch"),"")</f>
        <v/>
      </c>
      <c r="AB67" s="16" t="str">
        <f>IF(AND(AB$10&gt;=$D67,AB$11&lt;=$E67),VLOOKUP($F67,$K$2:AP$8,AB$1,"Falsch"),"")</f>
        <v/>
      </c>
      <c r="AC67" s="16" t="str">
        <f>IF(AND(AC$10&gt;=$D67,AC$11&lt;=$E67),VLOOKUP($F67,$K$2:AQ$8,AC$1,"Falsch"),"")</f>
        <v/>
      </c>
      <c r="AD67" s="16" t="str">
        <f>IF(AND(AD$10&gt;=$D67,AD$11&lt;=$E67),VLOOKUP($F67,$K$2:AR$8,AD$1,"Falsch"),"")</f>
        <v/>
      </c>
    </row>
    <row r="68" spans="9:30" x14ac:dyDescent="0.25">
      <c r="I68" s="21">
        <f t="shared" si="8"/>
        <v>0</v>
      </c>
      <c r="K68" s="25">
        <f t="shared" si="9"/>
        <v>0</v>
      </c>
      <c r="L68" s="16" t="str">
        <f>IF(AND(L$10&gt;=$D68,L$11&lt;=$E68),VLOOKUP($F68,$K$2:Z$8,L$1,"Falsch"),"")</f>
        <v/>
      </c>
      <c r="M68" s="16" t="str">
        <f>IF(AND(M$10&gt;=$D68,M$11&lt;=$E68),VLOOKUP($F68,$K$2:AA$8,M$1,"Falsch"),"")</f>
        <v/>
      </c>
      <c r="N68" s="16" t="str">
        <f>IF(AND(N$10&gt;=$D68,N$11&lt;=$E68),VLOOKUP($F68,$K$2:AB$8,N$1,"Falsch"),"")</f>
        <v/>
      </c>
      <c r="O68" s="16" t="str">
        <f>IF(AND(O$10&gt;=$D68,O$11&lt;=$E68),VLOOKUP($F68,$K$2:AC$8,O$1,"Falsch"),"")</f>
        <v/>
      </c>
      <c r="P68" s="16" t="str">
        <f>IF(AND(P$10&gt;=$D68,P$11&lt;=$E68),VLOOKUP($F68,$K$2:AD$8,P$1,"Falsch"),"")</f>
        <v/>
      </c>
      <c r="Q68" s="16" t="str">
        <f>IF(AND(Q$10&gt;=$D68,Q$11&lt;=$E68),VLOOKUP($F68,$K$2:AE$8,Q$1,"Falsch"),"")</f>
        <v/>
      </c>
      <c r="R68" s="16" t="str">
        <f>IF(AND(R$10&gt;=$D68,R$11&lt;=$E68),VLOOKUP($F68,$K$2:AF$8,R$1,"Falsch"),"")</f>
        <v/>
      </c>
      <c r="S68" s="16" t="str">
        <f>IF(AND(S$10&gt;=$D68,S$11&lt;=$E68),VLOOKUP($F68,$K$2:AG$8,S$1,"Falsch"),"")</f>
        <v/>
      </c>
      <c r="T68" s="16" t="str">
        <f>IF(AND(T$10&gt;=$D68,T$11&lt;=$E68),VLOOKUP($F68,$K$2:AH$8,T$1,"Falsch"),"")</f>
        <v/>
      </c>
      <c r="U68" s="16" t="str">
        <f>IF(AND(U$10&gt;=$D68,U$11&lt;=$E68),VLOOKUP($F68,$K$2:AI$8,U$1,"Falsch"),"")</f>
        <v/>
      </c>
      <c r="V68" s="16" t="str">
        <f>IF(AND(V$10&gt;=$D68,V$11&lt;=$E68),VLOOKUP($F68,$K$2:AJ$8,V$1,"Falsch"),"")</f>
        <v/>
      </c>
      <c r="W68" s="16" t="str">
        <f>IF(AND(W$10&gt;=$D68,W$11&lt;=$E68),VLOOKUP($F68,$K$2:AK$8,W$1,"Falsch"),"")</f>
        <v/>
      </c>
      <c r="X68" s="16" t="str">
        <f>IF(AND(X$10&gt;=$D68,X$11&lt;=$E68),VLOOKUP($F68,$K$2:AL$8,X$1,"Falsch"),"")</f>
        <v/>
      </c>
      <c r="Y68" s="16" t="str">
        <f>IF(AND(Y$10&gt;=$D68,Y$11&lt;=$E68),VLOOKUP($F68,$K$2:AM$8,Y$1,"Falsch"),"")</f>
        <v/>
      </c>
      <c r="Z68" s="16" t="str">
        <f>IF(AND(Z$10&gt;=$D68,Z$11&lt;=$E68),VLOOKUP($F68,$K$2:AN$8,Z$1,"Falsch"),"")</f>
        <v/>
      </c>
      <c r="AA68" s="16" t="str">
        <f>IF(AND(AA$10&gt;=$D68,AA$11&lt;=$E68),VLOOKUP($F68,$K$2:AO$8,AA$1,"Falsch"),"")</f>
        <v/>
      </c>
      <c r="AB68" s="16" t="str">
        <f>IF(AND(AB$10&gt;=$D68,AB$11&lt;=$E68),VLOOKUP($F68,$K$2:AP$8,AB$1,"Falsch"),"")</f>
        <v/>
      </c>
      <c r="AC68" s="16" t="str">
        <f>IF(AND(AC$10&gt;=$D68,AC$11&lt;=$E68),VLOOKUP($F68,$K$2:AQ$8,AC$1,"Falsch"),"")</f>
        <v/>
      </c>
      <c r="AD68" s="16" t="str">
        <f>IF(AND(AD$10&gt;=$D68,AD$11&lt;=$E68),VLOOKUP($F68,$K$2:AR$8,AD$1,"Falsch"),"")</f>
        <v/>
      </c>
    </row>
    <row r="69" spans="9:30" x14ac:dyDescent="0.25">
      <c r="I69" s="21">
        <f t="shared" si="8"/>
        <v>0</v>
      </c>
      <c r="K69" s="25">
        <f t="shared" si="9"/>
        <v>0</v>
      </c>
      <c r="L69" s="16" t="str">
        <f>IF(AND(L$10&gt;=$D69,L$11&lt;=$E69),VLOOKUP($F69,$K$2:Z$8,L$1,"Falsch"),"")</f>
        <v/>
      </c>
      <c r="M69" s="16" t="str">
        <f>IF(AND(M$10&gt;=$D69,M$11&lt;=$E69),VLOOKUP($F69,$K$2:AA$8,M$1,"Falsch"),"")</f>
        <v/>
      </c>
      <c r="N69" s="16" t="str">
        <f>IF(AND(N$10&gt;=$D69,N$11&lt;=$E69),VLOOKUP($F69,$K$2:AB$8,N$1,"Falsch"),"")</f>
        <v/>
      </c>
      <c r="O69" s="16" t="str">
        <f>IF(AND(O$10&gt;=$D69,O$11&lt;=$E69),VLOOKUP($F69,$K$2:AC$8,O$1,"Falsch"),"")</f>
        <v/>
      </c>
      <c r="P69" s="16" t="str">
        <f>IF(AND(P$10&gt;=$D69,P$11&lt;=$E69),VLOOKUP($F69,$K$2:AD$8,P$1,"Falsch"),"")</f>
        <v/>
      </c>
      <c r="Q69" s="16" t="str">
        <f>IF(AND(Q$10&gt;=$D69,Q$11&lt;=$E69),VLOOKUP($F69,$K$2:AE$8,Q$1,"Falsch"),"")</f>
        <v/>
      </c>
      <c r="R69" s="16" t="str">
        <f>IF(AND(R$10&gt;=$D69,R$11&lt;=$E69),VLOOKUP($F69,$K$2:AF$8,R$1,"Falsch"),"")</f>
        <v/>
      </c>
      <c r="S69" s="16" t="str">
        <f>IF(AND(S$10&gt;=$D69,S$11&lt;=$E69),VLOOKUP($F69,$K$2:AG$8,S$1,"Falsch"),"")</f>
        <v/>
      </c>
      <c r="T69" s="16" t="str">
        <f>IF(AND(T$10&gt;=$D69,T$11&lt;=$E69),VLOOKUP($F69,$K$2:AH$8,T$1,"Falsch"),"")</f>
        <v/>
      </c>
      <c r="U69" s="16" t="str">
        <f>IF(AND(U$10&gt;=$D69,U$11&lt;=$E69),VLOOKUP($F69,$K$2:AI$8,U$1,"Falsch"),"")</f>
        <v/>
      </c>
      <c r="V69" s="16" t="str">
        <f>IF(AND(V$10&gt;=$D69,V$11&lt;=$E69),VLOOKUP($F69,$K$2:AJ$8,V$1,"Falsch"),"")</f>
        <v/>
      </c>
      <c r="W69" s="16" t="str">
        <f>IF(AND(W$10&gt;=$D69,W$11&lt;=$E69),VLOOKUP($F69,$K$2:AK$8,W$1,"Falsch"),"")</f>
        <v/>
      </c>
      <c r="X69" s="16" t="str">
        <f>IF(AND(X$10&gt;=$D69,X$11&lt;=$E69),VLOOKUP($F69,$K$2:AL$8,X$1,"Falsch"),"")</f>
        <v/>
      </c>
      <c r="Y69" s="16" t="str">
        <f>IF(AND(Y$10&gt;=$D69,Y$11&lt;=$E69),VLOOKUP($F69,$K$2:AM$8,Y$1,"Falsch"),"")</f>
        <v/>
      </c>
      <c r="Z69" s="16" t="str">
        <f>IF(AND(Z$10&gt;=$D69,Z$11&lt;=$E69),VLOOKUP($F69,$K$2:AN$8,Z$1,"Falsch"),"")</f>
        <v/>
      </c>
      <c r="AA69" s="16" t="str">
        <f>IF(AND(AA$10&gt;=$D69,AA$11&lt;=$E69),VLOOKUP($F69,$K$2:AO$8,AA$1,"Falsch"),"")</f>
        <v/>
      </c>
      <c r="AB69" s="16" t="str">
        <f>IF(AND(AB$10&gt;=$D69,AB$11&lt;=$E69),VLOOKUP($F69,$K$2:AP$8,AB$1,"Falsch"),"")</f>
        <v/>
      </c>
      <c r="AC69" s="16" t="str">
        <f>IF(AND(AC$10&gt;=$D69,AC$11&lt;=$E69),VLOOKUP($F69,$K$2:AQ$8,AC$1,"Falsch"),"")</f>
        <v/>
      </c>
      <c r="AD69" s="16" t="str">
        <f>IF(AND(AD$10&gt;=$D69,AD$11&lt;=$E69),VLOOKUP($F69,$K$2:AR$8,AD$1,"Falsch"),"")</f>
        <v/>
      </c>
    </row>
    <row r="70" spans="9:30" x14ac:dyDescent="0.25">
      <c r="I70" s="21">
        <f t="shared" si="8"/>
        <v>0</v>
      </c>
      <c r="K70" s="25">
        <f t="shared" si="9"/>
        <v>0</v>
      </c>
      <c r="L70" s="16" t="str">
        <f>IF(AND(L$10&gt;=$D70,L$11&lt;=$E70),VLOOKUP($F70,$K$2:Z$8,L$1,"Falsch"),"")</f>
        <v/>
      </c>
      <c r="M70" s="16" t="str">
        <f>IF(AND(M$10&gt;=$D70,M$11&lt;=$E70),VLOOKUP($F70,$K$2:AA$8,M$1,"Falsch"),"")</f>
        <v/>
      </c>
      <c r="N70" s="16" t="str">
        <f>IF(AND(N$10&gt;=$D70,N$11&lt;=$E70),VLOOKUP($F70,$K$2:AB$8,N$1,"Falsch"),"")</f>
        <v/>
      </c>
      <c r="O70" s="16" t="str">
        <f>IF(AND(O$10&gt;=$D70,O$11&lt;=$E70),VLOOKUP($F70,$K$2:AC$8,O$1,"Falsch"),"")</f>
        <v/>
      </c>
      <c r="P70" s="16" t="str">
        <f>IF(AND(P$10&gt;=$D70,P$11&lt;=$E70),VLOOKUP($F70,$K$2:AD$8,P$1,"Falsch"),"")</f>
        <v/>
      </c>
      <c r="Q70" s="16" t="str">
        <f>IF(AND(Q$10&gt;=$D70,Q$11&lt;=$E70),VLOOKUP($F70,$K$2:AE$8,Q$1,"Falsch"),"")</f>
        <v/>
      </c>
      <c r="R70" s="16" t="str">
        <f>IF(AND(R$10&gt;=$D70,R$11&lt;=$E70),VLOOKUP($F70,$K$2:AF$8,R$1,"Falsch"),"")</f>
        <v/>
      </c>
      <c r="S70" s="16" t="str">
        <f>IF(AND(S$10&gt;=$D70,S$11&lt;=$E70),VLOOKUP($F70,$K$2:AG$8,S$1,"Falsch"),"")</f>
        <v/>
      </c>
      <c r="T70" s="16" t="str">
        <f>IF(AND(T$10&gt;=$D70,T$11&lt;=$E70),VLOOKUP($F70,$K$2:AH$8,T$1,"Falsch"),"")</f>
        <v/>
      </c>
      <c r="U70" s="16" t="str">
        <f>IF(AND(U$10&gt;=$D70,U$11&lt;=$E70),VLOOKUP($F70,$K$2:AI$8,U$1,"Falsch"),"")</f>
        <v/>
      </c>
      <c r="V70" s="16" t="str">
        <f>IF(AND(V$10&gt;=$D70,V$11&lt;=$E70),VLOOKUP($F70,$K$2:AJ$8,V$1,"Falsch"),"")</f>
        <v/>
      </c>
      <c r="W70" s="16" t="str">
        <f>IF(AND(W$10&gt;=$D70,W$11&lt;=$E70),VLOOKUP($F70,$K$2:AK$8,W$1,"Falsch"),"")</f>
        <v/>
      </c>
      <c r="X70" s="16" t="str">
        <f>IF(AND(X$10&gt;=$D70,X$11&lt;=$E70),VLOOKUP($F70,$K$2:AL$8,X$1,"Falsch"),"")</f>
        <v/>
      </c>
      <c r="Y70" s="16" t="str">
        <f>IF(AND(Y$10&gt;=$D70,Y$11&lt;=$E70),VLOOKUP($F70,$K$2:AM$8,Y$1,"Falsch"),"")</f>
        <v/>
      </c>
      <c r="Z70" s="16" t="str">
        <f>IF(AND(Z$10&gt;=$D70,Z$11&lt;=$E70),VLOOKUP($F70,$K$2:AN$8,Z$1,"Falsch"),"")</f>
        <v/>
      </c>
      <c r="AA70" s="16" t="str">
        <f>IF(AND(AA$10&gt;=$D70,AA$11&lt;=$E70),VLOOKUP($F70,$K$2:AO$8,AA$1,"Falsch"),"")</f>
        <v/>
      </c>
      <c r="AB70" s="16" t="str">
        <f>IF(AND(AB$10&gt;=$D70,AB$11&lt;=$E70),VLOOKUP($F70,$K$2:AP$8,AB$1,"Falsch"),"")</f>
        <v/>
      </c>
      <c r="AC70" s="16" t="str">
        <f>IF(AND(AC$10&gt;=$D70,AC$11&lt;=$E70),VLOOKUP($F70,$K$2:AQ$8,AC$1,"Falsch"),"")</f>
        <v/>
      </c>
      <c r="AD70" s="16" t="str">
        <f>IF(AND(AD$10&gt;=$D70,AD$11&lt;=$E70),VLOOKUP($F70,$K$2:AR$8,AD$1,"Falsch"),"")</f>
        <v/>
      </c>
    </row>
    <row r="71" spans="9:30" x14ac:dyDescent="0.25">
      <c r="I71" s="21">
        <f t="shared" si="8"/>
        <v>0</v>
      </c>
      <c r="K71" s="25">
        <f t="shared" si="9"/>
        <v>0</v>
      </c>
      <c r="L71" s="16" t="str">
        <f>IF(AND(L$10&gt;=$D71,L$11&lt;=$E71),VLOOKUP($F71,$K$2:Z$8,L$1,"Falsch"),"")</f>
        <v/>
      </c>
      <c r="M71" s="16" t="str">
        <f>IF(AND(M$10&gt;=$D71,M$11&lt;=$E71),VLOOKUP($F71,$K$2:AA$8,M$1,"Falsch"),"")</f>
        <v/>
      </c>
      <c r="N71" s="16" t="str">
        <f>IF(AND(N$10&gt;=$D71,N$11&lt;=$E71),VLOOKUP($F71,$K$2:AB$8,N$1,"Falsch"),"")</f>
        <v/>
      </c>
      <c r="O71" s="16" t="str">
        <f>IF(AND(O$10&gt;=$D71,O$11&lt;=$E71),VLOOKUP($F71,$K$2:AC$8,O$1,"Falsch"),"")</f>
        <v/>
      </c>
      <c r="P71" s="16" t="str">
        <f>IF(AND(P$10&gt;=$D71,P$11&lt;=$E71),VLOOKUP($F71,$K$2:AD$8,P$1,"Falsch"),"")</f>
        <v/>
      </c>
      <c r="Q71" s="16" t="str">
        <f>IF(AND(Q$10&gt;=$D71,Q$11&lt;=$E71),VLOOKUP($F71,$K$2:AE$8,Q$1,"Falsch"),"")</f>
        <v/>
      </c>
      <c r="R71" s="16" t="str">
        <f>IF(AND(R$10&gt;=$D71,R$11&lt;=$E71),VLOOKUP($F71,$K$2:AF$8,R$1,"Falsch"),"")</f>
        <v/>
      </c>
      <c r="S71" s="16" t="str">
        <f>IF(AND(S$10&gt;=$D71,S$11&lt;=$E71),VLOOKUP($F71,$K$2:AG$8,S$1,"Falsch"),"")</f>
        <v/>
      </c>
      <c r="T71" s="16" t="str">
        <f>IF(AND(T$10&gt;=$D71,T$11&lt;=$E71),VLOOKUP($F71,$K$2:AH$8,T$1,"Falsch"),"")</f>
        <v/>
      </c>
      <c r="U71" s="16" t="str">
        <f>IF(AND(U$10&gt;=$D71,U$11&lt;=$E71),VLOOKUP($F71,$K$2:AI$8,U$1,"Falsch"),"")</f>
        <v/>
      </c>
      <c r="V71" s="16" t="str">
        <f>IF(AND(V$10&gt;=$D71,V$11&lt;=$E71),VLOOKUP($F71,$K$2:AJ$8,V$1,"Falsch"),"")</f>
        <v/>
      </c>
      <c r="W71" s="16" t="str">
        <f>IF(AND(W$10&gt;=$D71,W$11&lt;=$E71),VLOOKUP($F71,$K$2:AK$8,W$1,"Falsch"),"")</f>
        <v/>
      </c>
      <c r="X71" s="16" t="str">
        <f>IF(AND(X$10&gt;=$D71,X$11&lt;=$E71),VLOOKUP($F71,$K$2:AL$8,X$1,"Falsch"),"")</f>
        <v/>
      </c>
      <c r="Y71" s="16" t="str">
        <f>IF(AND(Y$10&gt;=$D71,Y$11&lt;=$E71),VLOOKUP($F71,$K$2:AM$8,Y$1,"Falsch"),"")</f>
        <v/>
      </c>
      <c r="Z71" s="16" t="str">
        <f>IF(AND(Z$10&gt;=$D71,Z$11&lt;=$E71),VLOOKUP($F71,$K$2:AN$8,Z$1,"Falsch"),"")</f>
        <v/>
      </c>
      <c r="AA71" s="16" t="str">
        <f>IF(AND(AA$10&gt;=$D71,AA$11&lt;=$E71),VLOOKUP($F71,$K$2:AO$8,AA$1,"Falsch"),"")</f>
        <v/>
      </c>
      <c r="AB71" s="16" t="str">
        <f>IF(AND(AB$10&gt;=$D71,AB$11&lt;=$E71),VLOOKUP($F71,$K$2:AP$8,AB$1,"Falsch"),"")</f>
        <v/>
      </c>
      <c r="AC71" s="16" t="str">
        <f>IF(AND(AC$10&gt;=$D71,AC$11&lt;=$E71),VLOOKUP($F71,$K$2:AQ$8,AC$1,"Falsch"),"")</f>
        <v/>
      </c>
      <c r="AD71" s="16" t="str">
        <f>IF(AND(AD$10&gt;=$D71,AD$11&lt;=$E71),VLOOKUP($F71,$K$2:AR$8,AD$1,"Falsch"),"")</f>
        <v/>
      </c>
    </row>
    <row r="72" spans="9:30" x14ac:dyDescent="0.25">
      <c r="I72" s="21">
        <f t="shared" si="8"/>
        <v>0</v>
      </c>
      <c r="K72" s="25">
        <f t="shared" si="9"/>
        <v>0</v>
      </c>
      <c r="L72" s="16" t="str">
        <f>IF(AND(L$10&gt;=$D72,L$11&lt;=$E72),VLOOKUP($F72,$K$2:Z$8,L$1,"Falsch"),"")</f>
        <v/>
      </c>
      <c r="M72" s="16" t="str">
        <f>IF(AND(M$10&gt;=$D72,M$11&lt;=$E72),VLOOKUP($F72,$K$2:AA$8,M$1,"Falsch"),"")</f>
        <v/>
      </c>
      <c r="N72" s="16" t="str">
        <f>IF(AND(N$10&gt;=$D72,N$11&lt;=$E72),VLOOKUP($F72,$K$2:AB$8,N$1,"Falsch"),"")</f>
        <v/>
      </c>
      <c r="O72" s="16" t="str">
        <f>IF(AND(O$10&gt;=$D72,O$11&lt;=$E72),VLOOKUP($F72,$K$2:AC$8,O$1,"Falsch"),"")</f>
        <v/>
      </c>
      <c r="P72" s="16" t="str">
        <f>IF(AND(P$10&gt;=$D72,P$11&lt;=$E72),VLOOKUP($F72,$K$2:AD$8,P$1,"Falsch"),"")</f>
        <v/>
      </c>
      <c r="Q72" s="16" t="str">
        <f>IF(AND(Q$10&gt;=$D72,Q$11&lt;=$E72),VLOOKUP($F72,$K$2:AE$8,Q$1,"Falsch"),"")</f>
        <v/>
      </c>
      <c r="R72" s="16" t="str">
        <f>IF(AND(R$10&gt;=$D72,R$11&lt;=$E72),VLOOKUP($F72,$K$2:AF$8,R$1,"Falsch"),"")</f>
        <v/>
      </c>
      <c r="S72" s="16" t="str">
        <f>IF(AND(S$10&gt;=$D72,S$11&lt;=$E72),VLOOKUP($F72,$K$2:AG$8,S$1,"Falsch"),"")</f>
        <v/>
      </c>
      <c r="T72" s="16" t="str">
        <f>IF(AND(T$10&gt;=$D72,T$11&lt;=$E72),VLOOKUP($F72,$K$2:AH$8,T$1,"Falsch"),"")</f>
        <v/>
      </c>
      <c r="U72" s="16" t="str">
        <f>IF(AND(U$10&gt;=$D72,U$11&lt;=$E72),VLOOKUP($F72,$K$2:AI$8,U$1,"Falsch"),"")</f>
        <v/>
      </c>
      <c r="V72" s="16" t="str">
        <f>IF(AND(V$10&gt;=$D72,V$11&lt;=$E72),VLOOKUP($F72,$K$2:AJ$8,V$1,"Falsch"),"")</f>
        <v/>
      </c>
      <c r="W72" s="16" t="str">
        <f>IF(AND(W$10&gt;=$D72,W$11&lt;=$E72),VLOOKUP($F72,$K$2:AK$8,W$1,"Falsch"),"")</f>
        <v/>
      </c>
      <c r="X72" s="16" t="str">
        <f>IF(AND(X$10&gt;=$D72,X$11&lt;=$E72),VLOOKUP($F72,$K$2:AL$8,X$1,"Falsch"),"")</f>
        <v/>
      </c>
      <c r="Y72" s="16" t="str">
        <f>IF(AND(Y$10&gt;=$D72,Y$11&lt;=$E72),VLOOKUP($F72,$K$2:AM$8,Y$1,"Falsch"),"")</f>
        <v/>
      </c>
      <c r="Z72" s="16" t="str">
        <f>IF(AND(Z$10&gt;=$D72,Z$11&lt;=$E72),VLOOKUP($F72,$K$2:AN$8,Z$1,"Falsch"),"")</f>
        <v/>
      </c>
      <c r="AA72" s="16" t="str">
        <f>IF(AND(AA$10&gt;=$D72,AA$11&lt;=$E72),VLOOKUP($F72,$K$2:AO$8,AA$1,"Falsch"),"")</f>
        <v/>
      </c>
      <c r="AB72" s="16" t="str">
        <f>IF(AND(AB$10&gt;=$D72,AB$11&lt;=$E72),VLOOKUP($F72,$K$2:AP$8,AB$1,"Falsch"),"")</f>
        <v/>
      </c>
      <c r="AC72" s="16" t="str">
        <f>IF(AND(AC$10&gt;=$D72,AC$11&lt;=$E72),VLOOKUP($F72,$K$2:AQ$8,AC$1,"Falsch"),"")</f>
        <v/>
      </c>
      <c r="AD72" s="16" t="str">
        <f>IF(AND(AD$10&gt;=$D72,AD$11&lt;=$E72),VLOOKUP($F72,$K$2:AR$8,AD$1,"Falsch"),"")</f>
        <v/>
      </c>
    </row>
    <row r="73" spans="9:30" x14ac:dyDescent="0.25">
      <c r="I73" s="21">
        <f t="shared" si="8"/>
        <v>0</v>
      </c>
      <c r="K73" s="25">
        <f t="shared" si="9"/>
        <v>0</v>
      </c>
      <c r="L73" s="16" t="str">
        <f>IF(AND(L$10&gt;=$D73,L$11&lt;=$E73),VLOOKUP($F73,$K$2:Z$8,L$1,"Falsch"),"")</f>
        <v/>
      </c>
      <c r="M73" s="16" t="str">
        <f>IF(AND(M$10&gt;=$D73,M$11&lt;=$E73),VLOOKUP($F73,$K$2:AA$8,M$1,"Falsch"),"")</f>
        <v/>
      </c>
      <c r="N73" s="16" t="str">
        <f>IF(AND(N$10&gt;=$D73,N$11&lt;=$E73),VLOOKUP($F73,$K$2:AB$8,N$1,"Falsch"),"")</f>
        <v/>
      </c>
      <c r="O73" s="16" t="str">
        <f>IF(AND(O$10&gt;=$D73,O$11&lt;=$E73),VLOOKUP($F73,$K$2:AC$8,O$1,"Falsch"),"")</f>
        <v/>
      </c>
      <c r="P73" s="16" t="str">
        <f>IF(AND(P$10&gt;=$D73,P$11&lt;=$E73),VLOOKUP($F73,$K$2:AD$8,P$1,"Falsch"),"")</f>
        <v/>
      </c>
      <c r="Q73" s="16" t="str">
        <f>IF(AND(Q$10&gt;=$D73,Q$11&lt;=$E73),VLOOKUP($F73,$K$2:AE$8,Q$1,"Falsch"),"")</f>
        <v/>
      </c>
      <c r="R73" s="16" t="str">
        <f>IF(AND(R$10&gt;=$D73,R$11&lt;=$E73),VLOOKUP($F73,$K$2:AF$8,R$1,"Falsch"),"")</f>
        <v/>
      </c>
      <c r="S73" s="16" t="str">
        <f>IF(AND(S$10&gt;=$D73,S$11&lt;=$E73),VLOOKUP($F73,$K$2:AG$8,S$1,"Falsch"),"")</f>
        <v/>
      </c>
      <c r="T73" s="16" t="str">
        <f>IF(AND(T$10&gt;=$D73,T$11&lt;=$E73),VLOOKUP($F73,$K$2:AH$8,T$1,"Falsch"),"")</f>
        <v/>
      </c>
      <c r="U73" s="16" t="str">
        <f>IF(AND(U$10&gt;=$D73,U$11&lt;=$E73),VLOOKUP($F73,$K$2:AI$8,U$1,"Falsch"),"")</f>
        <v/>
      </c>
      <c r="V73" s="16" t="str">
        <f>IF(AND(V$10&gt;=$D73,V$11&lt;=$E73),VLOOKUP($F73,$K$2:AJ$8,V$1,"Falsch"),"")</f>
        <v/>
      </c>
      <c r="W73" s="16" t="str">
        <f>IF(AND(W$10&gt;=$D73,W$11&lt;=$E73),VLOOKUP($F73,$K$2:AK$8,W$1,"Falsch"),"")</f>
        <v/>
      </c>
      <c r="X73" s="16" t="str">
        <f>IF(AND(X$10&gt;=$D73,X$11&lt;=$E73),VLOOKUP($F73,$K$2:AL$8,X$1,"Falsch"),"")</f>
        <v/>
      </c>
      <c r="Y73" s="16" t="str">
        <f>IF(AND(Y$10&gt;=$D73,Y$11&lt;=$E73),VLOOKUP($F73,$K$2:AM$8,Y$1,"Falsch"),"")</f>
        <v/>
      </c>
      <c r="Z73" s="16" t="str">
        <f>IF(AND(Z$10&gt;=$D73,Z$11&lt;=$E73),VLOOKUP($F73,$K$2:AN$8,Z$1,"Falsch"),"")</f>
        <v/>
      </c>
      <c r="AA73" s="16" t="str">
        <f>IF(AND(AA$10&gt;=$D73,AA$11&lt;=$E73),VLOOKUP($F73,$K$2:AO$8,AA$1,"Falsch"),"")</f>
        <v/>
      </c>
      <c r="AB73" s="16" t="str">
        <f>IF(AND(AB$10&gt;=$D73,AB$11&lt;=$E73),VLOOKUP($F73,$K$2:AP$8,AB$1,"Falsch"),"")</f>
        <v/>
      </c>
      <c r="AC73" s="16" t="str">
        <f>IF(AND(AC$10&gt;=$D73,AC$11&lt;=$E73),VLOOKUP($F73,$K$2:AQ$8,AC$1,"Falsch"),"")</f>
        <v/>
      </c>
      <c r="AD73" s="16" t="str">
        <f>IF(AND(AD$10&gt;=$D73,AD$11&lt;=$E73),VLOOKUP($F73,$K$2:AR$8,AD$1,"Falsch"),"")</f>
        <v/>
      </c>
    </row>
    <row r="74" spans="9:30" x14ac:dyDescent="0.25">
      <c r="I74" s="21">
        <f t="shared" si="8"/>
        <v>0</v>
      </c>
      <c r="K74" s="25">
        <f t="shared" si="9"/>
        <v>0</v>
      </c>
      <c r="L74" s="16" t="str">
        <f>IF(AND(L$10&gt;=$D74,L$11&lt;=$E74),VLOOKUP($F74,$K$2:Z$8,L$1,"Falsch"),"")</f>
        <v/>
      </c>
      <c r="M74" s="16" t="str">
        <f>IF(AND(M$10&gt;=$D74,M$11&lt;=$E74),VLOOKUP($F74,$K$2:AA$8,M$1,"Falsch"),"")</f>
        <v/>
      </c>
      <c r="N74" s="16" t="str">
        <f>IF(AND(N$10&gt;=$D74,N$11&lt;=$E74),VLOOKUP($F74,$K$2:AB$8,N$1,"Falsch"),"")</f>
        <v/>
      </c>
      <c r="O74" s="16" t="str">
        <f>IF(AND(O$10&gt;=$D74,O$11&lt;=$E74),VLOOKUP($F74,$K$2:AC$8,O$1,"Falsch"),"")</f>
        <v/>
      </c>
      <c r="P74" s="16" t="str">
        <f>IF(AND(P$10&gt;=$D74,P$11&lt;=$E74),VLOOKUP($F74,$K$2:AD$8,P$1,"Falsch"),"")</f>
        <v/>
      </c>
      <c r="Q74" s="16" t="str">
        <f>IF(AND(Q$10&gt;=$D74,Q$11&lt;=$E74),VLOOKUP($F74,$K$2:AE$8,Q$1,"Falsch"),"")</f>
        <v/>
      </c>
      <c r="R74" s="16" t="str">
        <f>IF(AND(R$10&gt;=$D74,R$11&lt;=$E74),VLOOKUP($F74,$K$2:AF$8,R$1,"Falsch"),"")</f>
        <v/>
      </c>
      <c r="S74" s="16" t="str">
        <f>IF(AND(S$10&gt;=$D74,S$11&lt;=$E74),VLOOKUP($F74,$K$2:AG$8,S$1,"Falsch"),"")</f>
        <v/>
      </c>
      <c r="T74" s="16" t="str">
        <f>IF(AND(T$10&gt;=$D74,T$11&lt;=$E74),VLOOKUP($F74,$K$2:AH$8,T$1,"Falsch"),"")</f>
        <v/>
      </c>
      <c r="U74" s="16" t="str">
        <f>IF(AND(U$10&gt;=$D74,U$11&lt;=$E74),VLOOKUP($F74,$K$2:AI$8,U$1,"Falsch"),"")</f>
        <v/>
      </c>
      <c r="V74" s="16" t="str">
        <f>IF(AND(V$10&gt;=$D74,V$11&lt;=$E74),VLOOKUP($F74,$K$2:AJ$8,V$1,"Falsch"),"")</f>
        <v/>
      </c>
      <c r="W74" s="16" t="str">
        <f>IF(AND(W$10&gt;=$D74,W$11&lt;=$E74),VLOOKUP($F74,$K$2:AK$8,W$1,"Falsch"),"")</f>
        <v/>
      </c>
      <c r="X74" s="16" t="str">
        <f>IF(AND(X$10&gt;=$D74,X$11&lt;=$E74),VLOOKUP($F74,$K$2:AL$8,X$1,"Falsch"),"")</f>
        <v/>
      </c>
      <c r="Y74" s="16" t="str">
        <f>IF(AND(Y$10&gt;=$D74,Y$11&lt;=$E74),VLOOKUP($F74,$K$2:AM$8,Y$1,"Falsch"),"")</f>
        <v/>
      </c>
      <c r="Z74" s="16" t="str">
        <f>IF(AND(Z$10&gt;=$D74,Z$11&lt;=$E74),VLOOKUP($F74,$K$2:AN$8,Z$1,"Falsch"),"")</f>
        <v/>
      </c>
      <c r="AA74" s="16" t="str">
        <f>IF(AND(AA$10&gt;=$D74,AA$11&lt;=$E74),VLOOKUP($F74,$K$2:AO$8,AA$1,"Falsch"),"")</f>
        <v/>
      </c>
      <c r="AB74" s="16" t="str">
        <f>IF(AND(AB$10&gt;=$D74,AB$11&lt;=$E74),VLOOKUP($F74,$K$2:AP$8,AB$1,"Falsch"),"")</f>
        <v/>
      </c>
      <c r="AC74" s="16" t="str">
        <f>IF(AND(AC$10&gt;=$D74,AC$11&lt;=$E74),VLOOKUP($F74,$K$2:AQ$8,AC$1,"Falsch"),"")</f>
        <v/>
      </c>
      <c r="AD74" s="16" t="str">
        <f>IF(AND(AD$10&gt;=$D74,AD$11&lt;=$E74),VLOOKUP($F74,$K$2:AR$8,AD$1,"Falsch"),"")</f>
        <v/>
      </c>
    </row>
    <row r="75" spans="9:30" x14ac:dyDescent="0.25">
      <c r="I75" s="21">
        <f t="shared" si="8"/>
        <v>0</v>
      </c>
      <c r="K75" s="25">
        <f t="shared" si="9"/>
        <v>0</v>
      </c>
      <c r="L75" s="16" t="str">
        <f>IF(AND(L$10&gt;=$D75,L$11&lt;=$E75),VLOOKUP($F75,$K$2:Z$8,L$1,"Falsch"),"")</f>
        <v/>
      </c>
      <c r="M75" s="16" t="str">
        <f>IF(AND(M$10&gt;=$D75,M$11&lt;=$E75),VLOOKUP($F75,$K$2:AA$8,M$1,"Falsch"),"")</f>
        <v/>
      </c>
      <c r="N75" s="16" t="str">
        <f>IF(AND(N$10&gt;=$D75,N$11&lt;=$E75),VLOOKUP($F75,$K$2:AB$8,N$1,"Falsch"),"")</f>
        <v/>
      </c>
      <c r="O75" s="16" t="str">
        <f>IF(AND(O$10&gt;=$D75,O$11&lt;=$E75),VLOOKUP($F75,$K$2:AC$8,O$1,"Falsch"),"")</f>
        <v/>
      </c>
      <c r="P75" s="16" t="str">
        <f>IF(AND(P$10&gt;=$D75,P$11&lt;=$E75),VLOOKUP($F75,$K$2:AD$8,P$1,"Falsch"),"")</f>
        <v/>
      </c>
      <c r="Q75" s="16" t="str">
        <f>IF(AND(Q$10&gt;=$D75,Q$11&lt;=$E75),VLOOKUP($F75,$K$2:AE$8,Q$1,"Falsch"),"")</f>
        <v/>
      </c>
      <c r="R75" s="16" t="str">
        <f>IF(AND(R$10&gt;=$D75,R$11&lt;=$E75),VLOOKUP($F75,$K$2:AF$8,R$1,"Falsch"),"")</f>
        <v/>
      </c>
      <c r="S75" s="16" t="str">
        <f>IF(AND(S$10&gt;=$D75,S$11&lt;=$E75),VLOOKUP($F75,$K$2:AG$8,S$1,"Falsch"),"")</f>
        <v/>
      </c>
      <c r="T75" s="16" t="str">
        <f>IF(AND(T$10&gt;=$D75,T$11&lt;=$E75),VLOOKUP($F75,$K$2:AH$8,T$1,"Falsch"),"")</f>
        <v/>
      </c>
      <c r="U75" s="16" t="str">
        <f>IF(AND(U$10&gt;=$D75,U$11&lt;=$E75),VLOOKUP($F75,$K$2:AI$8,U$1,"Falsch"),"")</f>
        <v/>
      </c>
      <c r="V75" s="16" t="str">
        <f>IF(AND(V$10&gt;=$D75,V$11&lt;=$E75),VLOOKUP($F75,$K$2:AJ$8,V$1,"Falsch"),"")</f>
        <v/>
      </c>
      <c r="W75" s="16" t="str">
        <f>IF(AND(W$10&gt;=$D75,W$11&lt;=$E75),VLOOKUP($F75,$K$2:AK$8,W$1,"Falsch"),"")</f>
        <v/>
      </c>
      <c r="X75" s="16" t="str">
        <f>IF(AND(X$10&gt;=$D75,X$11&lt;=$E75),VLOOKUP($F75,$K$2:AL$8,X$1,"Falsch"),"")</f>
        <v/>
      </c>
      <c r="Y75" s="16" t="str">
        <f>IF(AND(Y$10&gt;=$D75,Y$11&lt;=$E75),VLOOKUP($F75,$K$2:AM$8,Y$1,"Falsch"),"")</f>
        <v/>
      </c>
      <c r="Z75" s="16" t="str">
        <f>IF(AND(Z$10&gt;=$D75,Z$11&lt;=$E75),VLOOKUP($F75,$K$2:AN$8,Z$1,"Falsch"),"")</f>
        <v/>
      </c>
      <c r="AA75" s="16" t="str">
        <f>IF(AND(AA$10&gt;=$D75,AA$11&lt;=$E75),VLOOKUP($F75,$K$2:AO$8,AA$1,"Falsch"),"")</f>
        <v/>
      </c>
      <c r="AB75" s="16" t="str">
        <f>IF(AND(AB$10&gt;=$D75,AB$11&lt;=$E75),VLOOKUP($F75,$K$2:AP$8,AB$1,"Falsch"),"")</f>
        <v/>
      </c>
      <c r="AC75" s="16" t="str">
        <f>IF(AND(AC$10&gt;=$D75,AC$11&lt;=$E75),VLOOKUP($F75,$K$2:AQ$8,AC$1,"Falsch"),"")</f>
        <v/>
      </c>
      <c r="AD75" s="16" t="str">
        <f>IF(AND(AD$10&gt;=$D75,AD$11&lt;=$E75),VLOOKUP($F75,$K$2:AR$8,AD$1,"Falsch"),"")</f>
        <v/>
      </c>
    </row>
    <row r="76" spans="9:30" x14ac:dyDescent="0.25">
      <c r="I76" s="21">
        <f t="shared" si="8"/>
        <v>0</v>
      </c>
      <c r="K76" s="25">
        <f t="shared" si="9"/>
        <v>0</v>
      </c>
      <c r="L76" s="16" t="str">
        <f>IF(AND(L$10&gt;=$D76,L$11&lt;=$E76),VLOOKUP($F76,$K$2:Z$8,L$1,"Falsch"),"")</f>
        <v/>
      </c>
      <c r="M76" s="16" t="str">
        <f>IF(AND(M$10&gt;=$D76,M$11&lt;=$E76),VLOOKUP($F76,$K$2:AA$8,M$1,"Falsch"),"")</f>
        <v/>
      </c>
      <c r="N76" s="16" t="str">
        <f>IF(AND(N$10&gt;=$D76,N$11&lt;=$E76),VLOOKUP($F76,$K$2:AB$8,N$1,"Falsch"),"")</f>
        <v/>
      </c>
      <c r="O76" s="16" t="str">
        <f>IF(AND(O$10&gt;=$D76,O$11&lt;=$E76),VLOOKUP($F76,$K$2:AC$8,O$1,"Falsch"),"")</f>
        <v/>
      </c>
      <c r="P76" s="16" t="str">
        <f>IF(AND(P$10&gt;=$D76,P$11&lt;=$E76),VLOOKUP($F76,$K$2:AD$8,P$1,"Falsch"),"")</f>
        <v/>
      </c>
      <c r="Q76" s="16" t="str">
        <f>IF(AND(Q$10&gt;=$D76,Q$11&lt;=$E76),VLOOKUP($F76,$K$2:AE$8,Q$1,"Falsch"),"")</f>
        <v/>
      </c>
      <c r="R76" s="16" t="str">
        <f>IF(AND(R$10&gt;=$D76,R$11&lt;=$E76),VLOOKUP($F76,$K$2:AF$8,R$1,"Falsch"),"")</f>
        <v/>
      </c>
      <c r="S76" s="16" t="str">
        <f>IF(AND(S$10&gt;=$D76,S$11&lt;=$E76),VLOOKUP($F76,$K$2:AG$8,S$1,"Falsch"),"")</f>
        <v/>
      </c>
      <c r="T76" s="16" t="str">
        <f>IF(AND(T$10&gt;=$D76,T$11&lt;=$E76),VLOOKUP($F76,$K$2:AH$8,T$1,"Falsch"),"")</f>
        <v/>
      </c>
      <c r="U76" s="16" t="str">
        <f>IF(AND(U$10&gt;=$D76,U$11&lt;=$E76),VLOOKUP($F76,$K$2:AI$8,U$1,"Falsch"),"")</f>
        <v/>
      </c>
      <c r="V76" s="16" t="str">
        <f>IF(AND(V$10&gt;=$D76,V$11&lt;=$E76),VLOOKUP($F76,$K$2:AJ$8,V$1,"Falsch"),"")</f>
        <v/>
      </c>
      <c r="W76" s="16" t="str">
        <f>IF(AND(W$10&gt;=$D76,W$11&lt;=$E76),VLOOKUP($F76,$K$2:AK$8,W$1,"Falsch"),"")</f>
        <v/>
      </c>
      <c r="X76" s="16" t="str">
        <f>IF(AND(X$10&gt;=$D76,X$11&lt;=$E76),VLOOKUP($F76,$K$2:AL$8,X$1,"Falsch"),"")</f>
        <v/>
      </c>
      <c r="Y76" s="16" t="str">
        <f>IF(AND(Y$10&gt;=$D76,Y$11&lt;=$E76),VLOOKUP($F76,$K$2:AM$8,Y$1,"Falsch"),"")</f>
        <v/>
      </c>
      <c r="Z76" s="16" t="str">
        <f>IF(AND(Z$10&gt;=$D76,Z$11&lt;=$E76),VLOOKUP($F76,$K$2:AN$8,Z$1,"Falsch"),"")</f>
        <v/>
      </c>
      <c r="AA76" s="16" t="str">
        <f>IF(AND(AA$10&gt;=$D76,AA$11&lt;=$E76),VLOOKUP($F76,$K$2:AO$8,AA$1,"Falsch"),"")</f>
        <v/>
      </c>
      <c r="AB76" s="16" t="str">
        <f>IF(AND(AB$10&gt;=$D76,AB$11&lt;=$E76),VLOOKUP($F76,$K$2:AP$8,AB$1,"Falsch"),"")</f>
        <v/>
      </c>
      <c r="AC76" s="16" t="str">
        <f>IF(AND(AC$10&gt;=$D76,AC$11&lt;=$E76),VLOOKUP($F76,$K$2:AQ$8,AC$1,"Falsch"),"")</f>
        <v/>
      </c>
      <c r="AD76" s="16" t="str">
        <f>IF(AND(AD$10&gt;=$D76,AD$11&lt;=$E76),VLOOKUP($F76,$K$2:AR$8,AD$1,"Falsch"),"")</f>
        <v/>
      </c>
    </row>
    <row r="77" spans="9:30" x14ac:dyDescent="0.25">
      <c r="I77" s="21">
        <f t="shared" ref="I77:I140" si="31">E77-D77</f>
        <v>0</v>
      </c>
      <c r="K77" s="25">
        <f t="shared" ref="K77:K140" si="32">SUM(L77:AD77)</f>
        <v>0</v>
      </c>
      <c r="L77" s="16" t="str">
        <f>IF(AND(L$10&gt;=$D77,L$11&lt;=$E77),VLOOKUP($F77,$K$2:Z$8,L$1,"Falsch"),"")</f>
        <v/>
      </c>
      <c r="M77" s="16" t="str">
        <f>IF(AND(M$10&gt;=$D77,M$11&lt;=$E77),VLOOKUP($F77,$K$2:AA$8,M$1,"Falsch"),"")</f>
        <v/>
      </c>
      <c r="N77" s="16" t="str">
        <f>IF(AND(N$10&gt;=$D77,N$11&lt;=$E77),VLOOKUP($F77,$K$2:AB$8,N$1,"Falsch"),"")</f>
        <v/>
      </c>
      <c r="O77" s="16" t="str">
        <f>IF(AND(O$10&gt;=$D77,O$11&lt;=$E77),VLOOKUP($F77,$K$2:AC$8,O$1,"Falsch"),"")</f>
        <v/>
      </c>
      <c r="P77" s="16" t="str">
        <f>IF(AND(P$10&gt;=$D77,P$11&lt;=$E77),VLOOKUP($F77,$K$2:AD$8,P$1,"Falsch"),"")</f>
        <v/>
      </c>
      <c r="Q77" s="16" t="str">
        <f>IF(AND(Q$10&gt;=$D77,Q$11&lt;=$E77),VLOOKUP($F77,$K$2:AE$8,Q$1,"Falsch"),"")</f>
        <v/>
      </c>
      <c r="R77" s="16" t="str">
        <f>IF(AND(R$10&gt;=$D77,R$11&lt;=$E77),VLOOKUP($F77,$K$2:AF$8,R$1,"Falsch"),"")</f>
        <v/>
      </c>
      <c r="S77" s="16" t="str">
        <f>IF(AND(S$10&gt;=$D77,S$11&lt;=$E77),VLOOKUP($F77,$K$2:AG$8,S$1,"Falsch"),"")</f>
        <v/>
      </c>
      <c r="T77" s="16" t="str">
        <f>IF(AND(T$10&gt;=$D77,T$11&lt;=$E77),VLOOKUP($F77,$K$2:AH$8,T$1,"Falsch"),"")</f>
        <v/>
      </c>
      <c r="U77" s="16" t="str">
        <f>IF(AND(U$10&gt;=$D77,U$11&lt;=$E77),VLOOKUP($F77,$K$2:AI$8,U$1,"Falsch"),"")</f>
        <v/>
      </c>
      <c r="V77" s="16" t="str">
        <f>IF(AND(V$10&gt;=$D77,V$11&lt;=$E77),VLOOKUP($F77,$K$2:AJ$8,V$1,"Falsch"),"")</f>
        <v/>
      </c>
      <c r="W77" s="16" t="str">
        <f>IF(AND(W$10&gt;=$D77,W$11&lt;=$E77),VLOOKUP($F77,$K$2:AK$8,W$1,"Falsch"),"")</f>
        <v/>
      </c>
      <c r="X77" s="16" t="str">
        <f>IF(AND(X$10&gt;=$D77,X$11&lt;=$E77),VLOOKUP($F77,$K$2:AL$8,X$1,"Falsch"),"")</f>
        <v/>
      </c>
      <c r="Y77" s="16" t="str">
        <f>IF(AND(Y$10&gt;=$D77,Y$11&lt;=$E77),VLOOKUP($F77,$K$2:AM$8,Y$1,"Falsch"),"")</f>
        <v/>
      </c>
      <c r="Z77" s="16" t="str">
        <f>IF(AND(Z$10&gt;=$D77,Z$11&lt;=$E77),VLOOKUP($F77,$K$2:AN$8,Z$1,"Falsch"),"")</f>
        <v/>
      </c>
      <c r="AA77" s="16" t="str">
        <f>IF(AND(AA$10&gt;=$D77,AA$11&lt;=$E77),VLOOKUP($F77,$K$2:AO$8,AA$1,"Falsch"),"")</f>
        <v/>
      </c>
      <c r="AB77" s="16" t="str">
        <f>IF(AND(AB$10&gt;=$D77,AB$11&lt;=$E77),VLOOKUP($F77,$K$2:AP$8,AB$1,"Falsch"),"")</f>
        <v/>
      </c>
      <c r="AC77" s="16" t="str">
        <f>IF(AND(AC$10&gt;=$D77,AC$11&lt;=$E77),VLOOKUP($F77,$K$2:AQ$8,AC$1,"Falsch"),"")</f>
        <v/>
      </c>
      <c r="AD77" s="16" t="str">
        <f>IF(AND(AD$10&gt;=$D77,AD$11&lt;=$E77),VLOOKUP($F77,$K$2:AR$8,AD$1,"Falsch"),"")</f>
        <v/>
      </c>
    </row>
    <row r="78" spans="9:30" x14ac:dyDescent="0.25">
      <c r="I78" s="21">
        <f t="shared" si="31"/>
        <v>0</v>
      </c>
      <c r="K78" s="25">
        <f t="shared" si="32"/>
        <v>0</v>
      </c>
      <c r="L78" s="16" t="str">
        <f>IF(AND(L$10&gt;=$D78,L$11&lt;=$E78),VLOOKUP($F78,$K$2:Z$8,L$1,"Falsch"),"")</f>
        <v/>
      </c>
      <c r="M78" s="16" t="str">
        <f>IF(AND(M$10&gt;=$D78,M$11&lt;=$E78),VLOOKUP($F78,$K$2:AA$8,M$1,"Falsch"),"")</f>
        <v/>
      </c>
      <c r="N78" s="16" t="str">
        <f>IF(AND(N$10&gt;=$D78,N$11&lt;=$E78),VLOOKUP($F78,$K$2:AB$8,N$1,"Falsch"),"")</f>
        <v/>
      </c>
      <c r="O78" s="16" t="str">
        <f>IF(AND(O$10&gt;=$D78,O$11&lt;=$E78),VLOOKUP($F78,$K$2:AC$8,O$1,"Falsch"),"")</f>
        <v/>
      </c>
      <c r="P78" s="16" t="str">
        <f>IF(AND(P$10&gt;=$D78,P$11&lt;=$E78),VLOOKUP($F78,$K$2:AD$8,P$1,"Falsch"),"")</f>
        <v/>
      </c>
      <c r="Q78" s="16" t="str">
        <f>IF(AND(Q$10&gt;=$D78,Q$11&lt;=$E78),VLOOKUP($F78,$K$2:AE$8,Q$1,"Falsch"),"")</f>
        <v/>
      </c>
      <c r="R78" s="16" t="str">
        <f>IF(AND(R$10&gt;=$D78,R$11&lt;=$E78),VLOOKUP($F78,$K$2:AF$8,R$1,"Falsch"),"")</f>
        <v/>
      </c>
      <c r="S78" s="16" t="str">
        <f>IF(AND(S$10&gt;=$D78,S$11&lt;=$E78),VLOOKUP($F78,$K$2:AG$8,S$1,"Falsch"),"")</f>
        <v/>
      </c>
      <c r="T78" s="16" t="str">
        <f>IF(AND(T$10&gt;=$D78,T$11&lt;=$E78),VLOOKUP($F78,$K$2:AH$8,T$1,"Falsch"),"")</f>
        <v/>
      </c>
      <c r="U78" s="16" t="str">
        <f>IF(AND(U$10&gt;=$D78,U$11&lt;=$E78),VLOOKUP($F78,$K$2:AI$8,U$1,"Falsch"),"")</f>
        <v/>
      </c>
      <c r="V78" s="16" t="str">
        <f>IF(AND(V$10&gt;=$D78,V$11&lt;=$E78),VLOOKUP($F78,$K$2:AJ$8,V$1,"Falsch"),"")</f>
        <v/>
      </c>
      <c r="W78" s="16" t="str">
        <f>IF(AND(W$10&gt;=$D78,W$11&lt;=$E78),VLOOKUP($F78,$K$2:AK$8,W$1,"Falsch"),"")</f>
        <v/>
      </c>
      <c r="X78" s="16" t="str">
        <f>IF(AND(X$10&gt;=$D78,X$11&lt;=$E78),VLOOKUP($F78,$K$2:AL$8,X$1,"Falsch"),"")</f>
        <v/>
      </c>
      <c r="Y78" s="16" t="str">
        <f>IF(AND(Y$10&gt;=$D78,Y$11&lt;=$E78),VLOOKUP($F78,$K$2:AM$8,Y$1,"Falsch"),"")</f>
        <v/>
      </c>
      <c r="Z78" s="16" t="str">
        <f>IF(AND(Z$10&gt;=$D78,Z$11&lt;=$E78),VLOOKUP($F78,$K$2:AN$8,Z$1,"Falsch"),"")</f>
        <v/>
      </c>
      <c r="AA78" s="16" t="str">
        <f>IF(AND(AA$10&gt;=$D78,AA$11&lt;=$E78),VLOOKUP($F78,$K$2:AO$8,AA$1,"Falsch"),"")</f>
        <v/>
      </c>
      <c r="AB78" s="16" t="str">
        <f>IF(AND(AB$10&gt;=$D78,AB$11&lt;=$E78),VLOOKUP($F78,$K$2:AP$8,AB$1,"Falsch"),"")</f>
        <v/>
      </c>
      <c r="AC78" s="16" t="str">
        <f>IF(AND(AC$10&gt;=$D78,AC$11&lt;=$E78),VLOOKUP($F78,$K$2:AQ$8,AC$1,"Falsch"),"")</f>
        <v/>
      </c>
      <c r="AD78" s="16" t="str">
        <f>IF(AND(AD$10&gt;=$D78,AD$11&lt;=$E78),VLOOKUP($F78,$K$2:AR$8,AD$1,"Falsch"),"")</f>
        <v/>
      </c>
    </row>
    <row r="79" spans="9:30" x14ac:dyDescent="0.25">
      <c r="I79" s="21">
        <f t="shared" si="31"/>
        <v>0</v>
      </c>
      <c r="K79" s="25">
        <f t="shared" si="32"/>
        <v>0</v>
      </c>
      <c r="L79" s="16" t="str">
        <f>IF(AND(L$10&gt;=$D79,L$11&lt;=$E79),VLOOKUP($F79,$K$2:Z$8,L$1,"Falsch"),"")</f>
        <v/>
      </c>
      <c r="M79" s="16" t="str">
        <f>IF(AND(M$10&gt;=$D79,M$11&lt;=$E79),VLOOKUP($F79,$K$2:AA$8,M$1,"Falsch"),"")</f>
        <v/>
      </c>
      <c r="N79" s="16" t="str">
        <f>IF(AND(N$10&gt;=$D79,N$11&lt;=$E79),VLOOKUP($F79,$K$2:AB$8,N$1,"Falsch"),"")</f>
        <v/>
      </c>
      <c r="O79" s="16" t="str">
        <f>IF(AND(O$10&gt;=$D79,O$11&lt;=$E79),VLOOKUP($F79,$K$2:AC$8,O$1,"Falsch"),"")</f>
        <v/>
      </c>
      <c r="P79" s="16" t="str">
        <f>IF(AND(P$10&gt;=$D79,P$11&lt;=$E79),VLOOKUP($F79,$K$2:AD$8,P$1,"Falsch"),"")</f>
        <v/>
      </c>
      <c r="Q79" s="16" t="str">
        <f>IF(AND(Q$10&gt;=$D79,Q$11&lt;=$E79),VLOOKUP($F79,$K$2:AE$8,Q$1,"Falsch"),"")</f>
        <v/>
      </c>
      <c r="R79" s="16" t="str">
        <f>IF(AND(R$10&gt;=$D79,R$11&lt;=$E79),VLOOKUP($F79,$K$2:AF$8,R$1,"Falsch"),"")</f>
        <v/>
      </c>
      <c r="S79" s="16" t="str">
        <f>IF(AND(S$10&gt;=$D79,S$11&lt;=$E79),VLOOKUP($F79,$K$2:AG$8,S$1,"Falsch"),"")</f>
        <v/>
      </c>
      <c r="T79" s="16" t="str">
        <f>IF(AND(T$10&gt;=$D79,T$11&lt;=$E79),VLOOKUP($F79,$K$2:AH$8,T$1,"Falsch"),"")</f>
        <v/>
      </c>
      <c r="U79" s="16" t="str">
        <f>IF(AND(U$10&gt;=$D79,U$11&lt;=$E79),VLOOKUP($F79,$K$2:AI$8,U$1,"Falsch"),"")</f>
        <v/>
      </c>
      <c r="V79" s="16" t="str">
        <f>IF(AND(V$10&gt;=$D79,V$11&lt;=$E79),VLOOKUP($F79,$K$2:AJ$8,V$1,"Falsch"),"")</f>
        <v/>
      </c>
      <c r="W79" s="16" t="str">
        <f>IF(AND(W$10&gt;=$D79,W$11&lt;=$E79),VLOOKUP($F79,$K$2:AK$8,W$1,"Falsch"),"")</f>
        <v/>
      </c>
      <c r="X79" s="16" t="str">
        <f>IF(AND(X$10&gt;=$D79,X$11&lt;=$E79),VLOOKUP($F79,$K$2:AL$8,X$1,"Falsch"),"")</f>
        <v/>
      </c>
      <c r="Y79" s="16" t="str">
        <f>IF(AND(Y$10&gt;=$D79,Y$11&lt;=$E79),VLOOKUP($F79,$K$2:AM$8,Y$1,"Falsch"),"")</f>
        <v/>
      </c>
      <c r="Z79" s="16" t="str">
        <f>IF(AND(Z$10&gt;=$D79,Z$11&lt;=$E79),VLOOKUP($F79,$K$2:AN$8,Z$1,"Falsch"),"")</f>
        <v/>
      </c>
      <c r="AA79" s="16" t="str">
        <f>IF(AND(AA$10&gt;=$D79,AA$11&lt;=$E79),VLOOKUP($F79,$K$2:AO$8,AA$1,"Falsch"),"")</f>
        <v/>
      </c>
      <c r="AB79" s="16" t="str">
        <f>IF(AND(AB$10&gt;=$D79,AB$11&lt;=$E79),VLOOKUP($F79,$K$2:AP$8,AB$1,"Falsch"),"")</f>
        <v/>
      </c>
      <c r="AC79" s="16" t="str">
        <f>IF(AND(AC$10&gt;=$D79,AC$11&lt;=$E79),VLOOKUP($F79,$K$2:AQ$8,AC$1,"Falsch"),"")</f>
        <v/>
      </c>
      <c r="AD79" s="16" t="str">
        <f>IF(AND(AD$10&gt;=$D79,AD$11&lt;=$E79),VLOOKUP($F79,$K$2:AR$8,AD$1,"Falsch"),"")</f>
        <v/>
      </c>
    </row>
    <row r="80" spans="9:30" x14ac:dyDescent="0.25">
      <c r="I80" s="21">
        <f t="shared" si="31"/>
        <v>0</v>
      </c>
      <c r="K80" s="25">
        <f t="shared" si="32"/>
        <v>0</v>
      </c>
      <c r="L80" s="16" t="str">
        <f>IF(AND(L$10&gt;=$D80,L$11&lt;=$E80),VLOOKUP($F80,$K$2:Z$8,L$1,"Falsch"),"")</f>
        <v/>
      </c>
      <c r="M80" s="16" t="str">
        <f>IF(AND(M$10&gt;=$D80,M$11&lt;=$E80),VLOOKUP($F80,$K$2:AA$8,M$1,"Falsch"),"")</f>
        <v/>
      </c>
      <c r="N80" s="16" t="str">
        <f>IF(AND(N$10&gt;=$D80,N$11&lt;=$E80),VLOOKUP($F80,$K$2:AB$8,N$1,"Falsch"),"")</f>
        <v/>
      </c>
      <c r="O80" s="16" t="str">
        <f>IF(AND(O$10&gt;=$D80,O$11&lt;=$E80),VLOOKUP($F80,$K$2:AC$8,O$1,"Falsch"),"")</f>
        <v/>
      </c>
      <c r="P80" s="16" t="str">
        <f>IF(AND(P$10&gt;=$D80,P$11&lt;=$E80),VLOOKUP($F80,$K$2:AD$8,P$1,"Falsch"),"")</f>
        <v/>
      </c>
      <c r="Q80" s="16" t="str">
        <f>IF(AND(Q$10&gt;=$D80,Q$11&lt;=$E80),VLOOKUP($F80,$K$2:AE$8,Q$1,"Falsch"),"")</f>
        <v/>
      </c>
      <c r="R80" s="16" t="str">
        <f>IF(AND(R$10&gt;=$D80,R$11&lt;=$E80),VLOOKUP($F80,$K$2:AF$8,R$1,"Falsch"),"")</f>
        <v/>
      </c>
      <c r="S80" s="16" t="str">
        <f>IF(AND(S$10&gt;=$D80,S$11&lt;=$E80),VLOOKUP($F80,$K$2:AG$8,S$1,"Falsch"),"")</f>
        <v/>
      </c>
      <c r="T80" s="16" t="str">
        <f>IF(AND(T$10&gt;=$D80,T$11&lt;=$E80),VLOOKUP($F80,$K$2:AH$8,T$1,"Falsch"),"")</f>
        <v/>
      </c>
      <c r="U80" s="16" t="str">
        <f>IF(AND(U$10&gt;=$D80,U$11&lt;=$E80),VLOOKUP($F80,$K$2:AI$8,U$1,"Falsch"),"")</f>
        <v/>
      </c>
      <c r="V80" s="16" t="str">
        <f>IF(AND(V$10&gt;=$D80,V$11&lt;=$E80),VLOOKUP($F80,$K$2:AJ$8,V$1,"Falsch"),"")</f>
        <v/>
      </c>
      <c r="W80" s="16" t="str">
        <f>IF(AND(W$10&gt;=$D80,W$11&lt;=$E80),VLOOKUP($F80,$K$2:AK$8,W$1,"Falsch"),"")</f>
        <v/>
      </c>
      <c r="X80" s="16" t="str">
        <f>IF(AND(X$10&gt;=$D80,X$11&lt;=$E80),VLOOKUP($F80,$K$2:AL$8,X$1,"Falsch"),"")</f>
        <v/>
      </c>
      <c r="Y80" s="16" t="str">
        <f>IF(AND(Y$10&gt;=$D80,Y$11&lt;=$E80),VLOOKUP($F80,$K$2:AM$8,Y$1,"Falsch"),"")</f>
        <v/>
      </c>
      <c r="Z80" s="16" t="str">
        <f>IF(AND(Z$10&gt;=$D80,Z$11&lt;=$E80),VLOOKUP($F80,$K$2:AN$8,Z$1,"Falsch"),"")</f>
        <v/>
      </c>
      <c r="AA80" s="16" t="str">
        <f>IF(AND(AA$10&gt;=$D80,AA$11&lt;=$E80),VLOOKUP($F80,$K$2:AO$8,AA$1,"Falsch"),"")</f>
        <v/>
      </c>
      <c r="AB80" s="16" t="str">
        <f>IF(AND(AB$10&gt;=$D80,AB$11&lt;=$E80),VLOOKUP($F80,$K$2:AP$8,AB$1,"Falsch"),"")</f>
        <v/>
      </c>
      <c r="AC80" s="16" t="str">
        <f>IF(AND(AC$10&gt;=$D80,AC$11&lt;=$E80),VLOOKUP($F80,$K$2:AQ$8,AC$1,"Falsch"),"")</f>
        <v/>
      </c>
      <c r="AD80" s="16" t="str">
        <f>IF(AND(AD$10&gt;=$D80,AD$11&lt;=$E80),VLOOKUP($F80,$K$2:AR$8,AD$1,"Falsch"),"")</f>
        <v/>
      </c>
    </row>
    <row r="81" spans="9:30" x14ac:dyDescent="0.25">
      <c r="I81" s="21">
        <f t="shared" si="31"/>
        <v>0</v>
      </c>
      <c r="K81" s="25">
        <f t="shared" si="32"/>
        <v>0</v>
      </c>
      <c r="L81" s="16" t="str">
        <f>IF(AND(L$10&gt;=$D81,L$11&lt;=$E81),VLOOKUP($F81,$K$2:Z$8,L$1,"Falsch"),"")</f>
        <v/>
      </c>
      <c r="M81" s="16" t="str">
        <f>IF(AND(M$10&gt;=$D81,M$11&lt;=$E81),VLOOKUP($F81,$K$2:AA$8,M$1,"Falsch"),"")</f>
        <v/>
      </c>
      <c r="N81" s="16" t="str">
        <f>IF(AND(N$10&gt;=$D81,N$11&lt;=$E81),VLOOKUP($F81,$K$2:AB$8,N$1,"Falsch"),"")</f>
        <v/>
      </c>
      <c r="O81" s="16" t="str">
        <f>IF(AND(O$10&gt;=$D81,O$11&lt;=$E81),VLOOKUP($F81,$K$2:AC$8,O$1,"Falsch"),"")</f>
        <v/>
      </c>
      <c r="P81" s="16" t="str">
        <f>IF(AND(P$10&gt;=$D81,P$11&lt;=$E81),VLOOKUP($F81,$K$2:AD$8,P$1,"Falsch"),"")</f>
        <v/>
      </c>
      <c r="Q81" s="16" t="str">
        <f>IF(AND(Q$10&gt;=$D81,Q$11&lt;=$E81),VLOOKUP($F81,$K$2:AE$8,Q$1,"Falsch"),"")</f>
        <v/>
      </c>
      <c r="R81" s="16" t="str">
        <f>IF(AND(R$10&gt;=$D81,R$11&lt;=$E81),VLOOKUP($F81,$K$2:AF$8,R$1,"Falsch"),"")</f>
        <v/>
      </c>
      <c r="S81" s="16" t="str">
        <f>IF(AND(S$10&gt;=$D81,S$11&lt;=$E81),VLOOKUP($F81,$K$2:AG$8,S$1,"Falsch"),"")</f>
        <v/>
      </c>
      <c r="T81" s="16" t="str">
        <f>IF(AND(T$10&gt;=$D81,T$11&lt;=$E81),VLOOKUP($F81,$K$2:AH$8,T$1,"Falsch"),"")</f>
        <v/>
      </c>
      <c r="U81" s="16" t="str">
        <f>IF(AND(U$10&gt;=$D81,U$11&lt;=$E81),VLOOKUP($F81,$K$2:AI$8,U$1,"Falsch"),"")</f>
        <v/>
      </c>
      <c r="V81" s="16" t="str">
        <f>IF(AND(V$10&gt;=$D81,V$11&lt;=$E81),VLOOKUP($F81,$K$2:AJ$8,V$1,"Falsch"),"")</f>
        <v/>
      </c>
      <c r="W81" s="16" t="str">
        <f>IF(AND(W$10&gt;=$D81,W$11&lt;=$E81),VLOOKUP($F81,$K$2:AK$8,W$1,"Falsch"),"")</f>
        <v/>
      </c>
      <c r="X81" s="16" t="str">
        <f>IF(AND(X$10&gt;=$D81,X$11&lt;=$E81),VLOOKUP($F81,$K$2:AL$8,X$1,"Falsch"),"")</f>
        <v/>
      </c>
      <c r="Y81" s="16" t="str">
        <f>IF(AND(Y$10&gt;=$D81,Y$11&lt;=$E81),VLOOKUP($F81,$K$2:AM$8,Y$1,"Falsch"),"")</f>
        <v/>
      </c>
      <c r="Z81" s="16" t="str">
        <f>IF(AND(Z$10&gt;=$D81,Z$11&lt;=$E81),VLOOKUP($F81,$K$2:AN$8,Z$1,"Falsch"),"")</f>
        <v/>
      </c>
      <c r="AA81" s="16" t="str">
        <f>IF(AND(AA$10&gt;=$D81,AA$11&lt;=$E81),VLOOKUP($F81,$K$2:AO$8,AA$1,"Falsch"),"")</f>
        <v/>
      </c>
      <c r="AB81" s="16" t="str">
        <f>IF(AND(AB$10&gt;=$D81,AB$11&lt;=$E81),VLOOKUP($F81,$K$2:AP$8,AB$1,"Falsch"),"")</f>
        <v/>
      </c>
      <c r="AC81" s="16" t="str">
        <f>IF(AND(AC$10&gt;=$D81,AC$11&lt;=$E81),VLOOKUP($F81,$K$2:AQ$8,AC$1,"Falsch"),"")</f>
        <v/>
      </c>
      <c r="AD81" s="16" t="str">
        <f>IF(AND(AD$10&gt;=$D81,AD$11&lt;=$E81),VLOOKUP($F81,$K$2:AR$8,AD$1,"Falsch"),"")</f>
        <v/>
      </c>
    </row>
    <row r="82" spans="9:30" x14ac:dyDescent="0.25">
      <c r="I82" s="21">
        <f t="shared" si="31"/>
        <v>0</v>
      </c>
      <c r="K82" s="25">
        <f t="shared" si="32"/>
        <v>0</v>
      </c>
      <c r="L82" s="16" t="str">
        <f>IF(AND(L$10&gt;=$D82,L$11&lt;=$E82),VLOOKUP($F82,$K$2:Z$8,L$1,"Falsch"),"")</f>
        <v/>
      </c>
      <c r="M82" s="16" t="str">
        <f>IF(AND(M$10&gt;=$D82,M$11&lt;=$E82),VLOOKUP($F82,$K$2:AA$8,M$1,"Falsch"),"")</f>
        <v/>
      </c>
      <c r="N82" s="16" t="str">
        <f>IF(AND(N$10&gt;=$D82,N$11&lt;=$E82),VLOOKUP($F82,$K$2:AB$8,N$1,"Falsch"),"")</f>
        <v/>
      </c>
      <c r="O82" s="16" t="str">
        <f>IF(AND(O$10&gt;=$D82,O$11&lt;=$E82),VLOOKUP($F82,$K$2:AC$8,O$1,"Falsch"),"")</f>
        <v/>
      </c>
      <c r="P82" s="16" t="str">
        <f>IF(AND(P$10&gt;=$D82,P$11&lt;=$E82),VLOOKUP($F82,$K$2:AD$8,P$1,"Falsch"),"")</f>
        <v/>
      </c>
      <c r="Q82" s="16" t="str">
        <f>IF(AND(Q$10&gt;=$D82,Q$11&lt;=$E82),VLOOKUP($F82,$K$2:AE$8,Q$1,"Falsch"),"")</f>
        <v/>
      </c>
      <c r="R82" s="16" t="str">
        <f>IF(AND(R$10&gt;=$D82,R$11&lt;=$E82),VLOOKUP($F82,$K$2:AF$8,R$1,"Falsch"),"")</f>
        <v/>
      </c>
      <c r="S82" s="16" t="str">
        <f>IF(AND(S$10&gt;=$D82,S$11&lt;=$E82),VLOOKUP($F82,$K$2:AG$8,S$1,"Falsch"),"")</f>
        <v/>
      </c>
      <c r="T82" s="16" t="str">
        <f>IF(AND(T$10&gt;=$D82,T$11&lt;=$E82),VLOOKUP($F82,$K$2:AH$8,T$1,"Falsch"),"")</f>
        <v/>
      </c>
      <c r="U82" s="16" t="str">
        <f>IF(AND(U$10&gt;=$D82,U$11&lt;=$E82),VLOOKUP($F82,$K$2:AI$8,U$1,"Falsch"),"")</f>
        <v/>
      </c>
      <c r="V82" s="16" t="str">
        <f>IF(AND(V$10&gt;=$D82,V$11&lt;=$E82),VLOOKUP($F82,$K$2:AJ$8,V$1,"Falsch"),"")</f>
        <v/>
      </c>
      <c r="W82" s="16" t="str">
        <f>IF(AND(W$10&gt;=$D82,W$11&lt;=$E82),VLOOKUP($F82,$K$2:AK$8,W$1,"Falsch"),"")</f>
        <v/>
      </c>
      <c r="X82" s="16" t="str">
        <f>IF(AND(X$10&gt;=$D82,X$11&lt;=$E82),VLOOKUP($F82,$K$2:AL$8,X$1,"Falsch"),"")</f>
        <v/>
      </c>
      <c r="Y82" s="16" t="str">
        <f>IF(AND(Y$10&gt;=$D82,Y$11&lt;=$E82),VLOOKUP($F82,$K$2:AM$8,Y$1,"Falsch"),"")</f>
        <v/>
      </c>
      <c r="Z82" s="16" t="str">
        <f>IF(AND(Z$10&gt;=$D82,Z$11&lt;=$E82),VLOOKUP($F82,$K$2:AN$8,Z$1,"Falsch"),"")</f>
        <v/>
      </c>
      <c r="AA82" s="16" t="str">
        <f>IF(AND(AA$10&gt;=$D82,AA$11&lt;=$E82),VLOOKUP($F82,$K$2:AO$8,AA$1,"Falsch"),"")</f>
        <v/>
      </c>
      <c r="AB82" s="16" t="str">
        <f>IF(AND(AB$10&gt;=$D82,AB$11&lt;=$E82),VLOOKUP($F82,$K$2:AP$8,AB$1,"Falsch"),"")</f>
        <v/>
      </c>
      <c r="AC82" s="16" t="str">
        <f>IF(AND(AC$10&gt;=$D82,AC$11&lt;=$E82),VLOOKUP($F82,$K$2:AQ$8,AC$1,"Falsch"),"")</f>
        <v/>
      </c>
      <c r="AD82" s="16" t="str">
        <f>IF(AND(AD$10&gt;=$D82,AD$11&lt;=$E82),VLOOKUP($F82,$K$2:AR$8,AD$1,"Falsch"),"")</f>
        <v/>
      </c>
    </row>
    <row r="83" spans="9:30" x14ac:dyDescent="0.25">
      <c r="I83" s="21">
        <f t="shared" si="31"/>
        <v>0</v>
      </c>
      <c r="K83" s="25">
        <f t="shared" si="32"/>
        <v>0</v>
      </c>
      <c r="L83" s="16" t="str">
        <f>IF(AND(L$10&gt;=$D83,L$11&lt;=$E83),VLOOKUP($F83,$K$2:Z$8,L$1,"Falsch"),"")</f>
        <v/>
      </c>
      <c r="M83" s="16" t="str">
        <f>IF(AND(M$10&gt;=$D83,M$11&lt;=$E83),VLOOKUP($F83,$K$2:AA$8,M$1,"Falsch"),"")</f>
        <v/>
      </c>
      <c r="N83" s="16" t="str">
        <f>IF(AND(N$10&gt;=$D83,N$11&lt;=$E83),VLOOKUP($F83,$K$2:AB$8,N$1,"Falsch"),"")</f>
        <v/>
      </c>
      <c r="O83" s="16" t="str">
        <f>IF(AND(O$10&gt;=$D83,O$11&lt;=$E83),VLOOKUP($F83,$K$2:AC$8,O$1,"Falsch"),"")</f>
        <v/>
      </c>
      <c r="P83" s="16" t="str">
        <f>IF(AND(P$10&gt;=$D83,P$11&lt;=$E83),VLOOKUP($F83,$K$2:AD$8,P$1,"Falsch"),"")</f>
        <v/>
      </c>
      <c r="Q83" s="16" t="str">
        <f>IF(AND(Q$10&gt;=$D83,Q$11&lt;=$E83),VLOOKUP($F83,$K$2:AE$8,Q$1,"Falsch"),"")</f>
        <v/>
      </c>
      <c r="R83" s="16" t="str">
        <f>IF(AND(R$10&gt;=$D83,R$11&lt;=$E83),VLOOKUP($F83,$K$2:AF$8,R$1,"Falsch"),"")</f>
        <v/>
      </c>
      <c r="S83" s="16" t="str">
        <f>IF(AND(S$10&gt;=$D83,S$11&lt;=$E83),VLOOKUP($F83,$K$2:AG$8,S$1,"Falsch"),"")</f>
        <v/>
      </c>
      <c r="T83" s="16" t="str">
        <f>IF(AND(T$10&gt;=$D83,T$11&lt;=$E83),VLOOKUP($F83,$K$2:AH$8,T$1,"Falsch"),"")</f>
        <v/>
      </c>
      <c r="U83" s="16" t="str">
        <f>IF(AND(U$10&gt;=$D83,U$11&lt;=$E83),VLOOKUP($F83,$K$2:AI$8,U$1,"Falsch"),"")</f>
        <v/>
      </c>
      <c r="V83" s="16" t="str">
        <f>IF(AND(V$10&gt;=$D83,V$11&lt;=$E83),VLOOKUP($F83,$K$2:AJ$8,V$1,"Falsch"),"")</f>
        <v/>
      </c>
      <c r="W83" s="16" t="str">
        <f>IF(AND(W$10&gt;=$D83,W$11&lt;=$E83),VLOOKUP($F83,$K$2:AK$8,W$1,"Falsch"),"")</f>
        <v/>
      </c>
      <c r="X83" s="16" t="str">
        <f>IF(AND(X$10&gt;=$D83,X$11&lt;=$E83),VLOOKUP($F83,$K$2:AL$8,X$1,"Falsch"),"")</f>
        <v/>
      </c>
      <c r="Y83" s="16" t="str">
        <f>IF(AND(Y$10&gt;=$D83,Y$11&lt;=$E83),VLOOKUP($F83,$K$2:AM$8,Y$1,"Falsch"),"")</f>
        <v/>
      </c>
      <c r="Z83" s="16" t="str">
        <f>IF(AND(Z$10&gt;=$D83,Z$11&lt;=$E83),VLOOKUP($F83,$K$2:AN$8,Z$1,"Falsch"),"")</f>
        <v/>
      </c>
      <c r="AA83" s="16" t="str">
        <f>IF(AND(AA$10&gt;=$D83,AA$11&lt;=$E83),VLOOKUP($F83,$K$2:AO$8,AA$1,"Falsch"),"")</f>
        <v/>
      </c>
      <c r="AB83" s="16" t="str">
        <f>IF(AND(AB$10&gt;=$D83,AB$11&lt;=$E83),VLOOKUP($F83,$K$2:AP$8,AB$1,"Falsch"),"")</f>
        <v/>
      </c>
      <c r="AC83" s="16" t="str">
        <f>IF(AND(AC$10&gt;=$D83,AC$11&lt;=$E83),VLOOKUP($F83,$K$2:AQ$8,AC$1,"Falsch"),"")</f>
        <v/>
      </c>
      <c r="AD83" s="16" t="str">
        <f>IF(AND(AD$10&gt;=$D83,AD$11&lt;=$E83),VLOOKUP($F83,$K$2:AR$8,AD$1,"Falsch"),"")</f>
        <v/>
      </c>
    </row>
    <row r="84" spans="9:30" x14ac:dyDescent="0.25">
      <c r="I84" s="21">
        <f t="shared" si="31"/>
        <v>0</v>
      </c>
      <c r="K84" s="25">
        <f t="shared" si="32"/>
        <v>0</v>
      </c>
      <c r="L84" s="16" t="str">
        <f>IF(AND(L$10&gt;=$D84,L$11&lt;=$E84),VLOOKUP($F84,$K$2:Z$8,L$1,"Falsch"),"")</f>
        <v/>
      </c>
      <c r="M84" s="16" t="str">
        <f>IF(AND(M$10&gt;=$D84,M$11&lt;=$E84),VLOOKUP($F84,$K$2:AA$8,M$1,"Falsch"),"")</f>
        <v/>
      </c>
      <c r="N84" s="16" t="str">
        <f>IF(AND(N$10&gt;=$D84,N$11&lt;=$E84),VLOOKUP($F84,$K$2:AB$8,N$1,"Falsch"),"")</f>
        <v/>
      </c>
      <c r="O84" s="16" t="str">
        <f>IF(AND(O$10&gt;=$D84,O$11&lt;=$E84),VLOOKUP($F84,$K$2:AC$8,O$1,"Falsch"),"")</f>
        <v/>
      </c>
      <c r="P84" s="16" t="str">
        <f>IF(AND(P$10&gt;=$D84,P$11&lt;=$E84),VLOOKUP($F84,$K$2:AD$8,P$1,"Falsch"),"")</f>
        <v/>
      </c>
      <c r="Q84" s="16" t="str">
        <f>IF(AND(Q$10&gt;=$D84,Q$11&lt;=$E84),VLOOKUP($F84,$K$2:AE$8,Q$1,"Falsch"),"")</f>
        <v/>
      </c>
      <c r="R84" s="16" t="str">
        <f>IF(AND(R$10&gt;=$D84,R$11&lt;=$E84),VLOOKUP($F84,$K$2:AF$8,R$1,"Falsch"),"")</f>
        <v/>
      </c>
      <c r="S84" s="16" t="str">
        <f>IF(AND(S$10&gt;=$D84,S$11&lt;=$E84),VLOOKUP($F84,$K$2:AG$8,S$1,"Falsch"),"")</f>
        <v/>
      </c>
      <c r="T84" s="16" t="str">
        <f>IF(AND(T$10&gt;=$D84,T$11&lt;=$E84),VLOOKUP($F84,$K$2:AH$8,T$1,"Falsch"),"")</f>
        <v/>
      </c>
      <c r="U84" s="16" t="str">
        <f>IF(AND(U$10&gt;=$D84,U$11&lt;=$E84),VLOOKUP($F84,$K$2:AI$8,U$1,"Falsch"),"")</f>
        <v/>
      </c>
      <c r="V84" s="16" t="str">
        <f>IF(AND(V$10&gt;=$D84,V$11&lt;=$E84),VLOOKUP($F84,$K$2:AJ$8,V$1,"Falsch"),"")</f>
        <v/>
      </c>
      <c r="W84" s="16" t="str">
        <f>IF(AND(W$10&gt;=$D84,W$11&lt;=$E84),VLOOKUP($F84,$K$2:AK$8,W$1,"Falsch"),"")</f>
        <v/>
      </c>
      <c r="X84" s="16" t="str">
        <f>IF(AND(X$10&gt;=$D84,X$11&lt;=$E84),VLOOKUP($F84,$K$2:AL$8,X$1,"Falsch"),"")</f>
        <v/>
      </c>
      <c r="Y84" s="16" t="str">
        <f>IF(AND(Y$10&gt;=$D84,Y$11&lt;=$E84),VLOOKUP($F84,$K$2:AM$8,Y$1,"Falsch"),"")</f>
        <v/>
      </c>
      <c r="Z84" s="16" t="str">
        <f>IF(AND(Z$10&gt;=$D84,Z$11&lt;=$E84),VLOOKUP($F84,$K$2:AN$8,Z$1,"Falsch"),"")</f>
        <v/>
      </c>
      <c r="AA84" s="16" t="str">
        <f>IF(AND(AA$10&gt;=$D84,AA$11&lt;=$E84),VLOOKUP($F84,$K$2:AO$8,AA$1,"Falsch"),"")</f>
        <v/>
      </c>
      <c r="AB84" s="16" t="str">
        <f>IF(AND(AB$10&gt;=$D84,AB$11&lt;=$E84),VLOOKUP($F84,$K$2:AP$8,AB$1,"Falsch"),"")</f>
        <v/>
      </c>
      <c r="AC84" s="16" t="str">
        <f>IF(AND(AC$10&gt;=$D84,AC$11&lt;=$E84),VLOOKUP($F84,$K$2:AQ$8,AC$1,"Falsch"),"")</f>
        <v/>
      </c>
      <c r="AD84" s="16" t="str">
        <f>IF(AND(AD$10&gt;=$D84,AD$11&lt;=$E84),VLOOKUP($F84,$K$2:AR$8,AD$1,"Falsch"),"")</f>
        <v/>
      </c>
    </row>
    <row r="85" spans="9:30" x14ac:dyDescent="0.25">
      <c r="I85" s="21">
        <f t="shared" si="31"/>
        <v>0</v>
      </c>
      <c r="K85" s="25">
        <f t="shared" si="32"/>
        <v>0</v>
      </c>
      <c r="L85" s="16" t="str">
        <f>IF(AND(L$10&gt;=$D85,L$11&lt;=$E85),VLOOKUP($F85,$K$2:Z$8,L$1,"Falsch"),"")</f>
        <v/>
      </c>
      <c r="M85" s="16" t="str">
        <f>IF(AND(M$10&gt;=$D85,M$11&lt;=$E85),VLOOKUP($F85,$K$2:AA$8,M$1,"Falsch"),"")</f>
        <v/>
      </c>
      <c r="N85" s="16" t="str">
        <f>IF(AND(N$10&gt;=$D85,N$11&lt;=$E85),VLOOKUP($F85,$K$2:AB$8,N$1,"Falsch"),"")</f>
        <v/>
      </c>
      <c r="O85" s="16" t="str">
        <f>IF(AND(O$10&gt;=$D85,O$11&lt;=$E85),VLOOKUP($F85,$K$2:AC$8,O$1,"Falsch"),"")</f>
        <v/>
      </c>
      <c r="P85" s="16" t="str">
        <f>IF(AND(P$10&gt;=$D85,P$11&lt;=$E85),VLOOKUP($F85,$K$2:AD$8,P$1,"Falsch"),"")</f>
        <v/>
      </c>
      <c r="Q85" s="16" t="str">
        <f>IF(AND(Q$10&gt;=$D85,Q$11&lt;=$E85),VLOOKUP($F85,$K$2:AE$8,Q$1,"Falsch"),"")</f>
        <v/>
      </c>
      <c r="R85" s="16" t="str">
        <f>IF(AND(R$10&gt;=$D85,R$11&lt;=$E85),VLOOKUP($F85,$K$2:AF$8,R$1,"Falsch"),"")</f>
        <v/>
      </c>
      <c r="S85" s="16" t="str">
        <f>IF(AND(S$10&gt;=$D85,S$11&lt;=$E85),VLOOKUP($F85,$K$2:AG$8,S$1,"Falsch"),"")</f>
        <v/>
      </c>
      <c r="T85" s="16" t="str">
        <f>IF(AND(T$10&gt;=$D85,T$11&lt;=$E85),VLOOKUP($F85,$K$2:AH$8,T$1,"Falsch"),"")</f>
        <v/>
      </c>
      <c r="U85" s="16" t="str">
        <f>IF(AND(U$10&gt;=$D85,U$11&lt;=$E85),VLOOKUP($F85,$K$2:AI$8,U$1,"Falsch"),"")</f>
        <v/>
      </c>
      <c r="V85" s="16" t="str">
        <f>IF(AND(V$10&gt;=$D85,V$11&lt;=$E85),VLOOKUP($F85,$K$2:AJ$8,V$1,"Falsch"),"")</f>
        <v/>
      </c>
      <c r="W85" s="16" t="str">
        <f>IF(AND(W$10&gt;=$D85,W$11&lt;=$E85),VLOOKUP($F85,$K$2:AK$8,W$1,"Falsch"),"")</f>
        <v/>
      </c>
      <c r="X85" s="16" t="str">
        <f>IF(AND(X$10&gt;=$D85,X$11&lt;=$E85),VLOOKUP($F85,$K$2:AL$8,X$1,"Falsch"),"")</f>
        <v/>
      </c>
      <c r="Y85" s="16" t="str">
        <f>IF(AND(Y$10&gt;=$D85,Y$11&lt;=$E85),VLOOKUP($F85,$K$2:AM$8,Y$1,"Falsch"),"")</f>
        <v/>
      </c>
      <c r="Z85" s="16" t="str">
        <f>IF(AND(Z$10&gt;=$D85,Z$11&lt;=$E85),VLOOKUP($F85,$K$2:AN$8,Z$1,"Falsch"),"")</f>
        <v/>
      </c>
      <c r="AA85" s="16" t="str">
        <f>IF(AND(AA$10&gt;=$D85,AA$11&lt;=$E85),VLOOKUP($F85,$K$2:AO$8,AA$1,"Falsch"),"")</f>
        <v/>
      </c>
      <c r="AB85" s="16" t="str">
        <f>IF(AND(AB$10&gt;=$D85,AB$11&lt;=$E85),VLOOKUP($F85,$K$2:AP$8,AB$1,"Falsch"),"")</f>
        <v/>
      </c>
      <c r="AC85" s="16" t="str">
        <f>IF(AND(AC$10&gt;=$D85,AC$11&lt;=$E85),VLOOKUP($F85,$K$2:AQ$8,AC$1,"Falsch"),"")</f>
        <v/>
      </c>
      <c r="AD85" s="16" t="str">
        <f>IF(AND(AD$10&gt;=$D85,AD$11&lt;=$E85),VLOOKUP($F85,$K$2:AR$8,AD$1,"Falsch"),"")</f>
        <v/>
      </c>
    </row>
    <row r="86" spans="9:30" x14ac:dyDescent="0.25">
      <c r="I86" s="21">
        <f t="shared" si="31"/>
        <v>0</v>
      </c>
      <c r="K86" s="25">
        <f t="shared" si="32"/>
        <v>0</v>
      </c>
      <c r="L86" s="16" t="str">
        <f>IF(AND(L$10&gt;=$D86,L$11&lt;=$E86),VLOOKUP($F86,$K$2:Z$8,L$1,"Falsch"),"")</f>
        <v/>
      </c>
      <c r="M86" s="16" t="str">
        <f>IF(AND(M$10&gt;=$D86,M$11&lt;=$E86),VLOOKUP($F86,$K$2:AA$8,M$1,"Falsch"),"")</f>
        <v/>
      </c>
      <c r="N86" s="16" t="str">
        <f>IF(AND(N$10&gt;=$D86,N$11&lt;=$E86),VLOOKUP($F86,$K$2:AB$8,N$1,"Falsch"),"")</f>
        <v/>
      </c>
      <c r="O86" s="16" t="str">
        <f>IF(AND(O$10&gt;=$D86,O$11&lt;=$E86),VLOOKUP($F86,$K$2:AC$8,O$1,"Falsch"),"")</f>
        <v/>
      </c>
      <c r="P86" s="16" t="str">
        <f>IF(AND(P$10&gt;=$D86,P$11&lt;=$E86),VLOOKUP($F86,$K$2:AD$8,P$1,"Falsch"),"")</f>
        <v/>
      </c>
      <c r="Q86" s="16" t="str">
        <f>IF(AND(Q$10&gt;=$D86,Q$11&lt;=$E86),VLOOKUP($F86,$K$2:AE$8,Q$1,"Falsch"),"")</f>
        <v/>
      </c>
      <c r="R86" s="16" t="str">
        <f>IF(AND(R$10&gt;=$D86,R$11&lt;=$E86),VLOOKUP($F86,$K$2:AF$8,R$1,"Falsch"),"")</f>
        <v/>
      </c>
      <c r="S86" s="16" t="str">
        <f>IF(AND(S$10&gt;=$D86,S$11&lt;=$E86),VLOOKUP($F86,$K$2:AG$8,S$1,"Falsch"),"")</f>
        <v/>
      </c>
      <c r="T86" s="16" t="str">
        <f>IF(AND(T$10&gt;=$D86,T$11&lt;=$E86),VLOOKUP($F86,$K$2:AH$8,T$1,"Falsch"),"")</f>
        <v/>
      </c>
      <c r="U86" s="16" t="str">
        <f>IF(AND(U$10&gt;=$D86,U$11&lt;=$E86),VLOOKUP($F86,$K$2:AI$8,U$1,"Falsch"),"")</f>
        <v/>
      </c>
      <c r="V86" s="16" t="str">
        <f>IF(AND(V$10&gt;=$D86,V$11&lt;=$E86),VLOOKUP($F86,$K$2:AJ$8,V$1,"Falsch"),"")</f>
        <v/>
      </c>
      <c r="W86" s="16" t="str">
        <f>IF(AND(W$10&gt;=$D86,W$11&lt;=$E86),VLOOKUP($F86,$K$2:AK$8,W$1,"Falsch"),"")</f>
        <v/>
      </c>
      <c r="X86" s="16" t="str">
        <f>IF(AND(X$10&gt;=$D86,X$11&lt;=$E86),VLOOKUP($F86,$K$2:AL$8,X$1,"Falsch"),"")</f>
        <v/>
      </c>
      <c r="Y86" s="16" t="str">
        <f>IF(AND(Y$10&gt;=$D86,Y$11&lt;=$E86),VLOOKUP($F86,$K$2:AM$8,Y$1,"Falsch"),"")</f>
        <v/>
      </c>
      <c r="Z86" s="16" t="str">
        <f>IF(AND(Z$10&gt;=$D86,Z$11&lt;=$E86),VLOOKUP($F86,$K$2:AN$8,Z$1,"Falsch"),"")</f>
        <v/>
      </c>
      <c r="AA86" s="16" t="str">
        <f>IF(AND(AA$10&gt;=$D86,AA$11&lt;=$E86),VLOOKUP($F86,$K$2:AO$8,AA$1,"Falsch"),"")</f>
        <v/>
      </c>
      <c r="AB86" s="16" t="str">
        <f>IF(AND(AB$10&gt;=$D86,AB$11&lt;=$E86),VLOOKUP($F86,$K$2:AP$8,AB$1,"Falsch"),"")</f>
        <v/>
      </c>
      <c r="AC86" s="16" t="str">
        <f>IF(AND(AC$10&gt;=$D86,AC$11&lt;=$E86),VLOOKUP($F86,$K$2:AQ$8,AC$1,"Falsch"),"")</f>
        <v/>
      </c>
      <c r="AD86" s="16" t="str">
        <f>IF(AND(AD$10&gt;=$D86,AD$11&lt;=$E86),VLOOKUP($F86,$K$2:AR$8,AD$1,"Falsch"),"")</f>
        <v/>
      </c>
    </row>
    <row r="87" spans="9:30" x14ac:dyDescent="0.25">
      <c r="I87" s="21">
        <f t="shared" si="31"/>
        <v>0</v>
      </c>
      <c r="K87" s="25">
        <f t="shared" si="32"/>
        <v>0</v>
      </c>
      <c r="L87" s="16" t="str">
        <f>IF(AND(L$10&gt;=$D87,L$11&lt;=$E87),VLOOKUP($F87,$K$2:Z$8,L$1,"Falsch"),"")</f>
        <v/>
      </c>
      <c r="M87" s="16" t="str">
        <f>IF(AND(M$10&gt;=$D87,M$11&lt;=$E87),VLOOKUP($F87,$K$2:AA$8,M$1,"Falsch"),"")</f>
        <v/>
      </c>
      <c r="N87" s="16" t="str">
        <f>IF(AND(N$10&gt;=$D87,N$11&lt;=$E87),VLOOKUP($F87,$K$2:AB$8,N$1,"Falsch"),"")</f>
        <v/>
      </c>
      <c r="O87" s="16" t="str">
        <f>IF(AND(O$10&gt;=$D87,O$11&lt;=$E87),VLOOKUP($F87,$K$2:AC$8,O$1,"Falsch"),"")</f>
        <v/>
      </c>
      <c r="P87" s="16" t="str">
        <f>IF(AND(P$10&gt;=$D87,P$11&lt;=$E87),VLOOKUP($F87,$K$2:AD$8,P$1,"Falsch"),"")</f>
        <v/>
      </c>
      <c r="Q87" s="16" t="str">
        <f>IF(AND(Q$10&gt;=$D87,Q$11&lt;=$E87),VLOOKUP($F87,$K$2:AE$8,Q$1,"Falsch"),"")</f>
        <v/>
      </c>
      <c r="R87" s="16" t="str">
        <f>IF(AND(R$10&gt;=$D87,R$11&lt;=$E87),VLOOKUP($F87,$K$2:AF$8,R$1,"Falsch"),"")</f>
        <v/>
      </c>
      <c r="S87" s="16" t="str">
        <f>IF(AND(S$10&gt;=$D87,S$11&lt;=$E87),VLOOKUP($F87,$K$2:AG$8,S$1,"Falsch"),"")</f>
        <v/>
      </c>
      <c r="T87" s="16" t="str">
        <f>IF(AND(T$10&gt;=$D87,T$11&lt;=$E87),VLOOKUP($F87,$K$2:AH$8,T$1,"Falsch"),"")</f>
        <v/>
      </c>
      <c r="U87" s="16" t="str">
        <f>IF(AND(U$10&gt;=$D87,U$11&lt;=$E87),VLOOKUP($F87,$K$2:AI$8,U$1,"Falsch"),"")</f>
        <v/>
      </c>
      <c r="V87" s="16" t="str">
        <f>IF(AND(V$10&gt;=$D87,V$11&lt;=$E87),VLOOKUP($F87,$K$2:AJ$8,V$1,"Falsch"),"")</f>
        <v/>
      </c>
      <c r="W87" s="16" t="str">
        <f>IF(AND(W$10&gt;=$D87,W$11&lt;=$E87),VLOOKUP($F87,$K$2:AK$8,W$1,"Falsch"),"")</f>
        <v/>
      </c>
      <c r="X87" s="16" t="str">
        <f>IF(AND(X$10&gt;=$D87,X$11&lt;=$E87),VLOOKUP($F87,$K$2:AL$8,X$1,"Falsch"),"")</f>
        <v/>
      </c>
      <c r="Y87" s="16" t="str">
        <f>IF(AND(Y$10&gt;=$D87,Y$11&lt;=$E87),VLOOKUP($F87,$K$2:AM$8,Y$1,"Falsch"),"")</f>
        <v/>
      </c>
      <c r="Z87" s="16" t="str">
        <f>IF(AND(Z$10&gt;=$D87,Z$11&lt;=$E87),VLOOKUP($F87,$K$2:AN$8,Z$1,"Falsch"),"")</f>
        <v/>
      </c>
      <c r="AA87" s="16" t="str">
        <f>IF(AND(AA$10&gt;=$D87,AA$11&lt;=$E87),VLOOKUP($F87,$K$2:AO$8,AA$1,"Falsch"),"")</f>
        <v/>
      </c>
      <c r="AB87" s="16" t="str">
        <f>IF(AND(AB$10&gt;=$D87,AB$11&lt;=$E87),VLOOKUP($F87,$K$2:AP$8,AB$1,"Falsch"),"")</f>
        <v/>
      </c>
      <c r="AC87" s="16" t="str">
        <f>IF(AND(AC$10&gt;=$D87,AC$11&lt;=$E87),VLOOKUP($F87,$K$2:AQ$8,AC$1,"Falsch"),"")</f>
        <v/>
      </c>
      <c r="AD87" s="16" t="str">
        <f>IF(AND(AD$10&gt;=$D87,AD$11&lt;=$E87),VLOOKUP($F87,$K$2:AR$8,AD$1,"Falsch"),"")</f>
        <v/>
      </c>
    </row>
    <row r="88" spans="9:30" x14ac:dyDescent="0.25">
      <c r="I88" s="21">
        <f t="shared" si="31"/>
        <v>0</v>
      </c>
      <c r="K88" s="25">
        <f t="shared" si="32"/>
        <v>0</v>
      </c>
      <c r="L88" s="16" t="str">
        <f>IF(AND(L$10&gt;=$D88,L$11&lt;=$E88),VLOOKUP($F88,$K$2:Z$8,L$1,"Falsch"),"")</f>
        <v/>
      </c>
      <c r="M88" s="16" t="str">
        <f>IF(AND(M$10&gt;=$D88,M$11&lt;=$E88),VLOOKUP($F88,$K$2:AA$8,M$1,"Falsch"),"")</f>
        <v/>
      </c>
      <c r="N88" s="16" t="str">
        <f>IF(AND(N$10&gt;=$D88,N$11&lt;=$E88),VLOOKUP($F88,$K$2:AB$8,N$1,"Falsch"),"")</f>
        <v/>
      </c>
      <c r="O88" s="16" t="str">
        <f>IF(AND(O$10&gt;=$D88,O$11&lt;=$E88),VLOOKUP($F88,$K$2:AC$8,O$1,"Falsch"),"")</f>
        <v/>
      </c>
      <c r="P88" s="16" t="str">
        <f>IF(AND(P$10&gt;=$D88,P$11&lt;=$E88),VLOOKUP($F88,$K$2:AD$8,P$1,"Falsch"),"")</f>
        <v/>
      </c>
      <c r="Q88" s="16" t="str">
        <f>IF(AND(Q$10&gt;=$D88,Q$11&lt;=$E88),VLOOKUP($F88,$K$2:AE$8,Q$1,"Falsch"),"")</f>
        <v/>
      </c>
      <c r="R88" s="16" t="str">
        <f>IF(AND(R$10&gt;=$D88,R$11&lt;=$E88),VLOOKUP($F88,$K$2:AF$8,R$1,"Falsch"),"")</f>
        <v/>
      </c>
      <c r="S88" s="16" t="str">
        <f>IF(AND(S$10&gt;=$D88,S$11&lt;=$E88),VLOOKUP($F88,$K$2:AG$8,S$1,"Falsch"),"")</f>
        <v/>
      </c>
      <c r="T88" s="16" t="str">
        <f>IF(AND(T$10&gt;=$D88,T$11&lt;=$E88),VLOOKUP($F88,$K$2:AH$8,T$1,"Falsch"),"")</f>
        <v/>
      </c>
      <c r="U88" s="16" t="str">
        <f>IF(AND(U$10&gt;=$D88,U$11&lt;=$E88),VLOOKUP($F88,$K$2:AI$8,U$1,"Falsch"),"")</f>
        <v/>
      </c>
      <c r="V88" s="16" t="str">
        <f>IF(AND(V$10&gt;=$D88,V$11&lt;=$E88),VLOOKUP($F88,$K$2:AJ$8,V$1,"Falsch"),"")</f>
        <v/>
      </c>
      <c r="W88" s="16" t="str">
        <f>IF(AND(W$10&gt;=$D88,W$11&lt;=$E88),VLOOKUP($F88,$K$2:AK$8,W$1,"Falsch"),"")</f>
        <v/>
      </c>
      <c r="X88" s="16" t="str">
        <f>IF(AND(X$10&gt;=$D88,X$11&lt;=$E88),VLOOKUP($F88,$K$2:AL$8,X$1,"Falsch"),"")</f>
        <v/>
      </c>
      <c r="Y88" s="16" t="str">
        <f>IF(AND(Y$10&gt;=$D88,Y$11&lt;=$E88),VLOOKUP($F88,$K$2:AM$8,Y$1,"Falsch"),"")</f>
        <v/>
      </c>
      <c r="Z88" s="16" t="str">
        <f>IF(AND(Z$10&gt;=$D88,Z$11&lt;=$E88),VLOOKUP($F88,$K$2:AN$8,Z$1,"Falsch"),"")</f>
        <v/>
      </c>
      <c r="AA88" s="16" t="str">
        <f>IF(AND(AA$10&gt;=$D88,AA$11&lt;=$E88),VLOOKUP($F88,$K$2:AO$8,AA$1,"Falsch"),"")</f>
        <v/>
      </c>
      <c r="AB88" s="16" t="str">
        <f>IF(AND(AB$10&gt;=$D88,AB$11&lt;=$E88),VLOOKUP($F88,$K$2:AP$8,AB$1,"Falsch"),"")</f>
        <v/>
      </c>
      <c r="AC88" s="16" t="str">
        <f>IF(AND(AC$10&gt;=$D88,AC$11&lt;=$E88),VLOOKUP($F88,$K$2:AQ$8,AC$1,"Falsch"),"")</f>
        <v/>
      </c>
      <c r="AD88" s="16" t="str">
        <f>IF(AND(AD$10&gt;=$D88,AD$11&lt;=$E88),VLOOKUP($F88,$K$2:AR$8,AD$1,"Falsch"),"")</f>
        <v/>
      </c>
    </row>
    <row r="89" spans="9:30" x14ac:dyDescent="0.25">
      <c r="I89" s="21">
        <f t="shared" si="31"/>
        <v>0</v>
      </c>
      <c r="K89" s="25">
        <f t="shared" si="32"/>
        <v>0</v>
      </c>
      <c r="L89" s="16" t="str">
        <f>IF(AND(L$10&gt;=$D89,L$11&lt;=$E89),VLOOKUP($F89,$K$2:Z$8,L$1,"Falsch"),"")</f>
        <v/>
      </c>
      <c r="M89" s="16" t="str">
        <f>IF(AND(M$10&gt;=$D89,M$11&lt;=$E89),VLOOKUP($F89,$K$2:AA$8,M$1,"Falsch"),"")</f>
        <v/>
      </c>
      <c r="N89" s="16" t="str">
        <f>IF(AND(N$10&gt;=$D89,N$11&lt;=$E89),VLOOKUP($F89,$K$2:AB$8,N$1,"Falsch"),"")</f>
        <v/>
      </c>
      <c r="O89" s="16" t="str">
        <f>IF(AND(O$10&gt;=$D89,O$11&lt;=$E89),VLOOKUP($F89,$K$2:AC$8,O$1,"Falsch"),"")</f>
        <v/>
      </c>
      <c r="P89" s="16" t="str">
        <f>IF(AND(P$10&gt;=$D89,P$11&lt;=$E89),VLOOKUP($F89,$K$2:AD$8,P$1,"Falsch"),"")</f>
        <v/>
      </c>
      <c r="Q89" s="16" t="str">
        <f>IF(AND(Q$10&gt;=$D89,Q$11&lt;=$E89),VLOOKUP($F89,$K$2:AE$8,Q$1,"Falsch"),"")</f>
        <v/>
      </c>
      <c r="R89" s="16" t="str">
        <f>IF(AND(R$10&gt;=$D89,R$11&lt;=$E89),VLOOKUP($F89,$K$2:AF$8,R$1,"Falsch"),"")</f>
        <v/>
      </c>
      <c r="S89" s="16" t="str">
        <f>IF(AND(S$10&gt;=$D89,S$11&lt;=$E89),VLOOKUP($F89,$K$2:AG$8,S$1,"Falsch"),"")</f>
        <v/>
      </c>
      <c r="T89" s="16" t="str">
        <f>IF(AND(T$10&gt;=$D89,T$11&lt;=$E89),VLOOKUP($F89,$K$2:AH$8,T$1,"Falsch"),"")</f>
        <v/>
      </c>
      <c r="U89" s="16" t="str">
        <f>IF(AND(U$10&gt;=$D89,U$11&lt;=$E89),VLOOKUP($F89,$K$2:AI$8,U$1,"Falsch"),"")</f>
        <v/>
      </c>
      <c r="V89" s="16" t="str">
        <f>IF(AND(V$10&gt;=$D89,V$11&lt;=$E89),VLOOKUP($F89,$K$2:AJ$8,V$1,"Falsch"),"")</f>
        <v/>
      </c>
      <c r="W89" s="16" t="str">
        <f>IF(AND(W$10&gt;=$D89,W$11&lt;=$E89),VLOOKUP($F89,$K$2:AK$8,W$1,"Falsch"),"")</f>
        <v/>
      </c>
      <c r="X89" s="16" t="str">
        <f>IF(AND(X$10&gt;=$D89,X$11&lt;=$E89),VLOOKUP($F89,$K$2:AL$8,X$1,"Falsch"),"")</f>
        <v/>
      </c>
      <c r="Y89" s="16" t="str">
        <f>IF(AND(Y$10&gt;=$D89,Y$11&lt;=$E89),VLOOKUP($F89,$K$2:AM$8,Y$1,"Falsch"),"")</f>
        <v/>
      </c>
      <c r="Z89" s="16" t="str">
        <f>IF(AND(Z$10&gt;=$D89,Z$11&lt;=$E89),VLOOKUP($F89,$K$2:AN$8,Z$1,"Falsch"),"")</f>
        <v/>
      </c>
      <c r="AA89" s="16" t="str">
        <f>IF(AND(AA$10&gt;=$D89,AA$11&lt;=$E89),VLOOKUP($F89,$K$2:AO$8,AA$1,"Falsch"),"")</f>
        <v/>
      </c>
      <c r="AB89" s="16" t="str">
        <f>IF(AND(AB$10&gt;=$D89,AB$11&lt;=$E89),VLOOKUP($F89,$K$2:AP$8,AB$1,"Falsch"),"")</f>
        <v/>
      </c>
      <c r="AC89" s="16" t="str">
        <f>IF(AND(AC$10&gt;=$D89,AC$11&lt;=$E89),VLOOKUP($F89,$K$2:AQ$8,AC$1,"Falsch"),"")</f>
        <v/>
      </c>
      <c r="AD89" s="16" t="str">
        <f>IF(AND(AD$10&gt;=$D89,AD$11&lt;=$E89),VLOOKUP($F89,$K$2:AR$8,AD$1,"Falsch"),"")</f>
        <v/>
      </c>
    </row>
    <row r="90" spans="9:30" x14ac:dyDescent="0.25">
      <c r="I90" s="21">
        <f t="shared" si="31"/>
        <v>0</v>
      </c>
      <c r="K90" s="25">
        <f t="shared" si="32"/>
        <v>0</v>
      </c>
      <c r="L90" s="16" t="str">
        <f>IF(AND(L$10&gt;=$D90,L$11&lt;=$E90),VLOOKUP($F90,$K$2:Z$8,L$1,"Falsch"),"")</f>
        <v/>
      </c>
      <c r="M90" s="16" t="str">
        <f>IF(AND(M$10&gt;=$D90,M$11&lt;=$E90),VLOOKUP($F90,$K$2:AA$8,M$1,"Falsch"),"")</f>
        <v/>
      </c>
      <c r="N90" s="16" t="str">
        <f>IF(AND(N$10&gt;=$D90,N$11&lt;=$E90),VLOOKUP($F90,$K$2:AB$8,N$1,"Falsch"),"")</f>
        <v/>
      </c>
      <c r="O90" s="16" t="str">
        <f>IF(AND(O$10&gt;=$D90,O$11&lt;=$E90),VLOOKUP($F90,$K$2:AC$8,O$1,"Falsch"),"")</f>
        <v/>
      </c>
      <c r="P90" s="16" t="str">
        <f>IF(AND(P$10&gt;=$D90,P$11&lt;=$E90),VLOOKUP($F90,$K$2:AD$8,P$1,"Falsch"),"")</f>
        <v/>
      </c>
      <c r="Q90" s="16" t="str">
        <f>IF(AND(Q$10&gt;=$D90,Q$11&lt;=$E90),VLOOKUP($F90,$K$2:AE$8,Q$1,"Falsch"),"")</f>
        <v/>
      </c>
      <c r="R90" s="16" t="str">
        <f>IF(AND(R$10&gt;=$D90,R$11&lt;=$E90),VLOOKUP($F90,$K$2:AF$8,R$1,"Falsch"),"")</f>
        <v/>
      </c>
      <c r="S90" s="16" t="str">
        <f>IF(AND(S$10&gt;=$D90,S$11&lt;=$E90),VLOOKUP($F90,$K$2:AG$8,S$1,"Falsch"),"")</f>
        <v/>
      </c>
      <c r="T90" s="16" t="str">
        <f>IF(AND(T$10&gt;=$D90,T$11&lt;=$E90),VLOOKUP($F90,$K$2:AH$8,T$1,"Falsch"),"")</f>
        <v/>
      </c>
      <c r="U90" s="16" t="str">
        <f>IF(AND(U$10&gt;=$D90,U$11&lt;=$E90),VLOOKUP($F90,$K$2:AI$8,U$1,"Falsch"),"")</f>
        <v/>
      </c>
      <c r="V90" s="16" t="str">
        <f>IF(AND(V$10&gt;=$D90,V$11&lt;=$E90),VLOOKUP($F90,$K$2:AJ$8,V$1,"Falsch"),"")</f>
        <v/>
      </c>
      <c r="W90" s="16" t="str">
        <f>IF(AND(W$10&gt;=$D90,W$11&lt;=$E90),VLOOKUP($F90,$K$2:AK$8,W$1,"Falsch"),"")</f>
        <v/>
      </c>
      <c r="X90" s="16" t="str">
        <f>IF(AND(X$10&gt;=$D90,X$11&lt;=$E90),VLOOKUP($F90,$K$2:AL$8,X$1,"Falsch"),"")</f>
        <v/>
      </c>
      <c r="Y90" s="16" t="str">
        <f>IF(AND(Y$10&gt;=$D90,Y$11&lt;=$E90),VLOOKUP($F90,$K$2:AM$8,Y$1,"Falsch"),"")</f>
        <v/>
      </c>
      <c r="Z90" s="16" t="str">
        <f>IF(AND(Z$10&gt;=$D90,Z$11&lt;=$E90),VLOOKUP($F90,$K$2:AN$8,Z$1,"Falsch"),"")</f>
        <v/>
      </c>
      <c r="AA90" s="16" t="str">
        <f>IF(AND(AA$10&gt;=$D90,AA$11&lt;=$E90),VLOOKUP($F90,$K$2:AO$8,AA$1,"Falsch"),"")</f>
        <v/>
      </c>
      <c r="AB90" s="16" t="str">
        <f>IF(AND(AB$10&gt;=$D90,AB$11&lt;=$E90),VLOOKUP($F90,$K$2:AP$8,AB$1,"Falsch"),"")</f>
        <v/>
      </c>
      <c r="AC90" s="16" t="str">
        <f>IF(AND(AC$10&gt;=$D90,AC$11&lt;=$E90),VLOOKUP($F90,$K$2:AQ$8,AC$1,"Falsch"),"")</f>
        <v/>
      </c>
      <c r="AD90" s="16" t="str">
        <f>IF(AND(AD$10&gt;=$D90,AD$11&lt;=$E90),VLOOKUP($F90,$K$2:AR$8,AD$1,"Falsch"),"")</f>
        <v/>
      </c>
    </row>
    <row r="91" spans="9:30" x14ac:dyDescent="0.25">
      <c r="I91" s="21">
        <f t="shared" si="31"/>
        <v>0</v>
      </c>
      <c r="K91" s="25">
        <f t="shared" si="32"/>
        <v>0</v>
      </c>
      <c r="L91" s="16" t="str">
        <f>IF(AND(L$10&gt;=$D91,L$11&lt;=$E91),VLOOKUP($F91,$K$2:Z$8,L$1,"Falsch"),"")</f>
        <v/>
      </c>
      <c r="M91" s="16" t="str">
        <f>IF(AND(M$10&gt;=$D91,M$11&lt;=$E91),VLOOKUP($F91,$K$2:AA$8,M$1,"Falsch"),"")</f>
        <v/>
      </c>
      <c r="N91" s="16" t="str">
        <f>IF(AND(N$10&gt;=$D91,N$11&lt;=$E91),VLOOKUP($F91,$K$2:AB$8,N$1,"Falsch"),"")</f>
        <v/>
      </c>
      <c r="O91" s="16" t="str">
        <f>IF(AND(O$10&gt;=$D91,O$11&lt;=$E91),VLOOKUP($F91,$K$2:AC$8,O$1,"Falsch"),"")</f>
        <v/>
      </c>
      <c r="P91" s="16" t="str">
        <f>IF(AND(P$10&gt;=$D91,P$11&lt;=$E91),VLOOKUP($F91,$K$2:AD$8,P$1,"Falsch"),"")</f>
        <v/>
      </c>
      <c r="Q91" s="16" t="str">
        <f>IF(AND(Q$10&gt;=$D91,Q$11&lt;=$E91),VLOOKUP($F91,$K$2:AE$8,Q$1,"Falsch"),"")</f>
        <v/>
      </c>
      <c r="R91" s="16" t="str">
        <f>IF(AND(R$10&gt;=$D91,R$11&lt;=$E91),VLOOKUP($F91,$K$2:AF$8,R$1,"Falsch"),"")</f>
        <v/>
      </c>
      <c r="S91" s="16" t="str">
        <f>IF(AND(S$10&gt;=$D91,S$11&lt;=$E91),VLOOKUP($F91,$K$2:AG$8,S$1,"Falsch"),"")</f>
        <v/>
      </c>
      <c r="T91" s="16" t="str">
        <f>IF(AND(T$10&gt;=$D91,T$11&lt;=$E91),VLOOKUP($F91,$K$2:AH$8,T$1,"Falsch"),"")</f>
        <v/>
      </c>
      <c r="U91" s="16" t="str">
        <f>IF(AND(U$10&gt;=$D91,U$11&lt;=$E91),VLOOKUP($F91,$K$2:AI$8,U$1,"Falsch"),"")</f>
        <v/>
      </c>
      <c r="V91" s="16" t="str">
        <f>IF(AND(V$10&gt;=$D91,V$11&lt;=$E91),VLOOKUP($F91,$K$2:AJ$8,V$1,"Falsch"),"")</f>
        <v/>
      </c>
      <c r="W91" s="16" t="str">
        <f>IF(AND(W$10&gt;=$D91,W$11&lt;=$E91),VLOOKUP($F91,$K$2:AK$8,W$1,"Falsch"),"")</f>
        <v/>
      </c>
      <c r="X91" s="16" t="str">
        <f>IF(AND(X$10&gt;=$D91,X$11&lt;=$E91),VLOOKUP($F91,$K$2:AL$8,X$1,"Falsch"),"")</f>
        <v/>
      </c>
      <c r="Y91" s="16" t="str">
        <f>IF(AND(Y$10&gt;=$D91,Y$11&lt;=$E91),VLOOKUP($F91,$K$2:AM$8,Y$1,"Falsch"),"")</f>
        <v/>
      </c>
      <c r="Z91" s="16" t="str">
        <f>IF(AND(Z$10&gt;=$D91,Z$11&lt;=$E91),VLOOKUP($F91,$K$2:AN$8,Z$1,"Falsch"),"")</f>
        <v/>
      </c>
      <c r="AA91" s="16" t="str">
        <f>IF(AND(AA$10&gt;=$D91,AA$11&lt;=$E91),VLOOKUP($F91,$K$2:AO$8,AA$1,"Falsch"),"")</f>
        <v/>
      </c>
      <c r="AB91" s="16" t="str">
        <f>IF(AND(AB$10&gt;=$D91,AB$11&lt;=$E91),VLOOKUP($F91,$K$2:AP$8,AB$1,"Falsch"),"")</f>
        <v/>
      </c>
      <c r="AC91" s="16" t="str">
        <f>IF(AND(AC$10&gt;=$D91,AC$11&lt;=$E91),VLOOKUP($F91,$K$2:AQ$8,AC$1,"Falsch"),"")</f>
        <v/>
      </c>
      <c r="AD91" s="16" t="str">
        <f>IF(AND(AD$10&gt;=$D91,AD$11&lt;=$E91),VLOOKUP($F91,$K$2:AR$8,AD$1,"Falsch"),"")</f>
        <v/>
      </c>
    </row>
    <row r="92" spans="9:30" x14ac:dyDescent="0.25">
      <c r="I92" s="21">
        <f t="shared" si="31"/>
        <v>0</v>
      </c>
      <c r="K92" s="25">
        <f t="shared" si="32"/>
        <v>0</v>
      </c>
      <c r="L92" s="16" t="str">
        <f>IF(AND(L$10&gt;=$D92,L$11&lt;=$E92),VLOOKUP($F92,$K$2:Z$8,L$1,"Falsch"),"")</f>
        <v/>
      </c>
      <c r="M92" s="16" t="str">
        <f>IF(AND(M$10&gt;=$D92,M$11&lt;=$E92),VLOOKUP($F92,$K$2:AA$8,M$1,"Falsch"),"")</f>
        <v/>
      </c>
      <c r="N92" s="16" t="str">
        <f>IF(AND(N$10&gt;=$D92,N$11&lt;=$E92),VLOOKUP($F92,$K$2:AB$8,N$1,"Falsch"),"")</f>
        <v/>
      </c>
      <c r="O92" s="16" t="str">
        <f>IF(AND(O$10&gt;=$D92,O$11&lt;=$E92),VLOOKUP($F92,$K$2:AC$8,O$1,"Falsch"),"")</f>
        <v/>
      </c>
      <c r="P92" s="16" t="str">
        <f>IF(AND(P$10&gt;=$D92,P$11&lt;=$E92),VLOOKUP($F92,$K$2:AD$8,P$1,"Falsch"),"")</f>
        <v/>
      </c>
      <c r="Q92" s="16" t="str">
        <f>IF(AND(Q$10&gt;=$D92,Q$11&lt;=$E92),VLOOKUP($F92,$K$2:AE$8,Q$1,"Falsch"),"")</f>
        <v/>
      </c>
      <c r="R92" s="16" t="str">
        <f>IF(AND(R$10&gt;=$D92,R$11&lt;=$E92),VLOOKUP($F92,$K$2:AF$8,R$1,"Falsch"),"")</f>
        <v/>
      </c>
      <c r="S92" s="16" t="str">
        <f>IF(AND(S$10&gt;=$D92,S$11&lt;=$E92),VLOOKUP($F92,$K$2:AG$8,S$1,"Falsch"),"")</f>
        <v/>
      </c>
      <c r="T92" s="16" t="str">
        <f>IF(AND(T$10&gt;=$D92,T$11&lt;=$E92),VLOOKUP($F92,$K$2:AH$8,T$1,"Falsch"),"")</f>
        <v/>
      </c>
      <c r="U92" s="16" t="str">
        <f>IF(AND(U$10&gt;=$D92,U$11&lt;=$E92),VLOOKUP($F92,$K$2:AI$8,U$1,"Falsch"),"")</f>
        <v/>
      </c>
      <c r="V92" s="16" t="str">
        <f>IF(AND(V$10&gt;=$D92,V$11&lt;=$E92),VLOOKUP($F92,$K$2:AJ$8,V$1,"Falsch"),"")</f>
        <v/>
      </c>
      <c r="W92" s="16" t="str">
        <f>IF(AND(W$10&gt;=$D92,W$11&lt;=$E92),VLOOKUP($F92,$K$2:AK$8,W$1,"Falsch"),"")</f>
        <v/>
      </c>
      <c r="X92" s="16" t="str">
        <f>IF(AND(X$10&gt;=$D92,X$11&lt;=$E92),VLOOKUP($F92,$K$2:AL$8,X$1,"Falsch"),"")</f>
        <v/>
      </c>
      <c r="Y92" s="16" t="str">
        <f>IF(AND(Y$10&gt;=$D92,Y$11&lt;=$E92),VLOOKUP($F92,$K$2:AM$8,Y$1,"Falsch"),"")</f>
        <v/>
      </c>
      <c r="Z92" s="16" t="str">
        <f>IF(AND(Z$10&gt;=$D92,Z$11&lt;=$E92),VLOOKUP($F92,$K$2:AN$8,Z$1,"Falsch"),"")</f>
        <v/>
      </c>
      <c r="AA92" s="16" t="str">
        <f>IF(AND(AA$10&gt;=$D92,AA$11&lt;=$E92),VLOOKUP($F92,$K$2:AO$8,AA$1,"Falsch"),"")</f>
        <v/>
      </c>
      <c r="AB92" s="16" t="str">
        <f>IF(AND(AB$10&gt;=$D92,AB$11&lt;=$E92),VLOOKUP($F92,$K$2:AP$8,AB$1,"Falsch"),"")</f>
        <v/>
      </c>
      <c r="AC92" s="16" t="str">
        <f>IF(AND(AC$10&gt;=$D92,AC$11&lt;=$E92),VLOOKUP($F92,$K$2:AQ$8,AC$1,"Falsch"),"")</f>
        <v/>
      </c>
      <c r="AD92" s="16" t="str">
        <f>IF(AND(AD$10&gt;=$D92,AD$11&lt;=$E92),VLOOKUP($F92,$K$2:AR$8,AD$1,"Falsch"),"")</f>
        <v/>
      </c>
    </row>
    <row r="93" spans="9:30" x14ac:dyDescent="0.25">
      <c r="I93" s="21">
        <f t="shared" si="31"/>
        <v>0</v>
      </c>
      <c r="K93" s="25">
        <f t="shared" si="32"/>
        <v>0</v>
      </c>
      <c r="L93" s="16" t="str">
        <f>IF(AND(L$10&gt;=$D93,L$11&lt;=$E93),VLOOKUP($F93,$K$2:Z$8,L$1,"Falsch"),"")</f>
        <v/>
      </c>
      <c r="M93" s="16" t="str">
        <f>IF(AND(M$10&gt;=$D93,M$11&lt;=$E93),VLOOKUP($F93,$K$2:AA$8,M$1,"Falsch"),"")</f>
        <v/>
      </c>
      <c r="N93" s="16" t="str">
        <f>IF(AND(N$10&gt;=$D93,N$11&lt;=$E93),VLOOKUP($F93,$K$2:AB$8,N$1,"Falsch"),"")</f>
        <v/>
      </c>
      <c r="O93" s="16" t="str">
        <f>IF(AND(O$10&gt;=$D93,O$11&lt;=$E93),VLOOKUP($F93,$K$2:AC$8,O$1,"Falsch"),"")</f>
        <v/>
      </c>
      <c r="P93" s="16" t="str">
        <f>IF(AND(P$10&gt;=$D93,P$11&lt;=$E93),VLOOKUP($F93,$K$2:AD$8,P$1,"Falsch"),"")</f>
        <v/>
      </c>
      <c r="Q93" s="16" t="str">
        <f>IF(AND(Q$10&gt;=$D93,Q$11&lt;=$E93),VLOOKUP($F93,$K$2:AE$8,Q$1,"Falsch"),"")</f>
        <v/>
      </c>
      <c r="R93" s="16" t="str">
        <f>IF(AND(R$10&gt;=$D93,R$11&lt;=$E93),VLOOKUP($F93,$K$2:AF$8,R$1,"Falsch"),"")</f>
        <v/>
      </c>
      <c r="S93" s="16" t="str">
        <f>IF(AND(S$10&gt;=$D93,S$11&lt;=$E93),VLOOKUP($F93,$K$2:AG$8,S$1,"Falsch"),"")</f>
        <v/>
      </c>
      <c r="T93" s="16" t="str">
        <f>IF(AND(T$10&gt;=$D93,T$11&lt;=$E93),VLOOKUP($F93,$K$2:AH$8,T$1,"Falsch"),"")</f>
        <v/>
      </c>
      <c r="U93" s="16" t="str">
        <f>IF(AND(U$10&gt;=$D93,U$11&lt;=$E93),VLOOKUP($F93,$K$2:AI$8,U$1,"Falsch"),"")</f>
        <v/>
      </c>
      <c r="V93" s="16" t="str">
        <f>IF(AND(V$10&gt;=$D93,V$11&lt;=$E93),VLOOKUP($F93,$K$2:AJ$8,V$1,"Falsch"),"")</f>
        <v/>
      </c>
      <c r="W93" s="16" t="str">
        <f>IF(AND(W$10&gt;=$D93,W$11&lt;=$E93),VLOOKUP($F93,$K$2:AK$8,W$1,"Falsch"),"")</f>
        <v/>
      </c>
      <c r="X93" s="16" t="str">
        <f>IF(AND(X$10&gt;=$D93,X$11&lt;=$E93),VLOOKUP($F93,$K$2:AL$8,X$1,"Falsch"),"")</f>
        <v/>
      </c>
      <c r="Y93" s="16" t="str">
        <f>IF(AND(Y$10&gt;=$D93,Y$11&lt;=$E93),VLOOKUP($F93,$K$2:AM$8,Y$1,"Falsch"),"")</f>
        <v/>
      </c>
      <c r="Z93" s="16" t="str">
        <f>IF(AND(Z$10&gt;=$D93,Z$11&lt;=$E93),VLOOKUP($F93,$K$2:AN$8,Z$1,"Falsch"),"")</f>
        <v/>
      </c>
      <c r="AA93" s="16" t="str">
        <f>IF(AND(AA$10&gt;=$D93,AA$11&lt;=$E93),VLOOKUP($F93,$K$2:AO$8,AA$1,"Falsch"),"")</f>
        <v/>
      </c>
      <c r="AB93" s="16" t="str">
        <f>IF(AND(AB$10&gt;=$D93,AB$11&lt;=$E93),VLOOKUP($F93,$K$2:AP$8,AB$1,"Falsch"),"")</f>
        <v/>
      </c>
      <c r="AC93" s="16" t="str">
        <f>IF(AND(AC$10&gt;=$D93,AC$11&lt;=$E93),VLOOKUP($F93,$K$2:AQ$8,AC$1,"Falsch"),"")</f>
        <v/>
      </c>
      <c r="AD93" s="16" t="str">
        <f>IF(AND(AD$10&gt;=$D93,AD$11&lt;=$E93),VLOOKUP($F93,$K$2:AR$8,AD$1,"Falsch"),"")</f>
        <v/>
      </c>
    </row>
    <row r="94" spans="9:30" x14ac:dyDescent="0.25">
      <c r="I94" s="21">
        <f t="shared" si="31"/>
        <v>0</v>
      </c>
      <c r="K94" s="25">
        <f t="shared" si="32"/>
        <v>0</v>
      </c>
      <c r="L94" s="16" t="str">
        <f>IF(AND(L$10&gt;=$D94,L$11&lt;=$E94),VLOOKUP($F94,$K$2:Z$8,L$1,"Falsch"),"")</f>
        <v/>
      </c>
      <c r="M94" s="16" t="str">
        <f>IF(AND(M$10&gt;=$D94,M$11&lt;=$E94),VLOOKUP($F94,$K$2:AA$8,M$1,"Falsch"),"")</f>
        <v/>
      </c>
      <c r="N94" s="16" t="str">
        <f>IF(AND(N$10&gt;=$D94,N$11&lt;=$E94),VLOOKUP($F94,$K$2:AB$8,N$1,"Falsch"),"")</f>
        <v/>
      </c>
      <c r="O94" s="16" t="str">
        <f>IF(AND(O$10&gt;=$D94,O$11&lt;=$E94),VLOOKUP($F94,$K$2:AC$8,O$1,"Falsch"),"")</f>
        <v/>
      </c>
      <c r="P94" s="16" t="str">
        <f>IF(AND(P$10&gt;=$D94,P$11&lt;=$E94),VLOOKUP($F94,$K$2:AD$8,P$1,"Falsch"),"")</f>
        <v/>
      </c>
      <c r="Q94" s="16" t="str">
        <f>IF(AND(Q$10&gt;=$D94,Q$11&lt;=$E94),VLOOKUP($F94,$K$2:AE$8,Q$1,"Falsch"),"")</f>
        <v/>
      </c>
      <c r="R94" s="16" t="str">
        <f>IF(AND(R$10&gt;=$D94,R$11&lt;=$E94),VLOOKUP($F94,$K$2:AF$8,R$1,"Falsch"),"")</f>
        <v/>
      </c>
      <c r="S94" s="16" t="str">
        <f>IF(AND(S$10&gt;=$D94,S$11&lt;=$E94),VLOOKUP($F94,$K$2:AG$8,S$1,"Falsch"),"")</f>
        <v/>
      </c>
      <c r="T94" s="16" t="str">
        <f>IF(AND(T$10&gt;=$D94,T$11&lt;=$E94),VLOOKUP($F94,$K$2:AH$8,T$1,"Falsch"),"")</f>
        <v/>
      </c>
      <c r="U94" s="16" t="str">
        <f>IF(AND(U$10&gt;=$D94,U$11&lt;=$E94),VLOOKUP($F94,$K$2:AI$8,U$1,"Falsch"),"")</f>
        <v/>
      </c>
      <c r="V94" s="16" t="str">
        <f>IF(AND(V$10&gt;=$D94,V$11&lt;=$E94),VLOOKUP($F94,$K$2:AJ$8,V$1,"Falsch"),"")</f>
        <v/>
      </c>
      <c r="W94" s="16" t="str">
        <f>IF(AND(W$10&gt;=$D94,W$11&lt;=$E94),VLOOKUP($F94,$K$2:AK$8,W$1,"Falsch"),"")</f>
        <v/>
      </c>
      <c r="X94" s="16" t="str">
        <f>IF(AND(X$10&gt;=$D94,X$11&lt;=$E94),VLOOKUP($F94,$K$2:AL$8,X$1,"Falsch"),"")</f>
        <v/>
      </c>
      <c r="Y94" s="16" t="str">
        <f>IF(AND(Y$10&gt;=$D94,Y$11&lt;=$E94),VLOOKUP($F94,$K$2:AM$8,Y$1,"Falsch"),"")</f>
        <v/>
      </c>
      <c r="Z94" s="16" t="str">
        <f>IF(AND(Z$10&gt;=$D94,Z$11&lt;=$E94),VLOOKUP($F94,$K$2:AN$8,Z$1,"Falsch"),"")</f>
        <v/>
      </c>
      <c r="AA94" s="16" t="str">
        <f>IF(AND(AA$10&gt;=$D94,AA$11&lt;=$E94),VLOOKUP($F94,$K$2:AO$8,AA$1,"Falsch"),"")</f>
        <v/>
      </c>
      <c r="AB94" s="16" t="str">
        <f>IF(AND(AB$10&gt;=$D94,AB$11&lt;=$E94),VLOOKUP($F94,$K$2:AP$8,AB$1,"Falsch"),"")</f>
        <v/>
      </c>
      <c r="AC94" s="16" t="str">
        <f>IF(AND(AC$10&gt;=$D94,AC$11&lt;=$E94),VLOOKUP($F94,$K$2:AQ$8,AC$1,"Falsch"),"")</f>
        <v/>
      </c>
      <c r="AD94" s="16" t="str">
        <f>IF(AND(AD$10&gt;=$D94,AD$11&lt;=$E94),VLOOKUP($F94,$K$2:AR$8,AD$1,"Falsch"),"")</f>
        <v/>
      </c>
    </row>
    <row r="95" spans="9:30" x14ac:dyDescent="0.25">
      <c r="I95" s="21">
        <f t="shared" si="31"/>
        <v>0</v>
      </c>
      <c r="K95" s="25">
        <f t="shared" si="32"/>
        <v>0</v>
      </c>
      <c r="L95" s="16" t="str">
        <f>IF(AND(L$10&gt;=$D95,L$11&lt;=$E95),VLOOKUP($F95,$K$2:Z$8,L$1,"Falsch"),"")</f>
        <v/>
      </c>
      <c r="M95" s="16" t="str">
        <f>IF(AND(M$10&gt;=$D95,M$11&lt;=$E95),VLOOKUP($F95,$K$2:AA$8,M$1,"Falsch"),"")</f>
        <v/>
      </c>
      <c r="N95" s="16" t="str">
        <f>IF(AND(N$10&gt;=$D95,N$11&lt;=$E95),VLOOKUP($F95,$K$2:AB$8,N$1,"Falsch"),"")</f>
        <v/>
      </c>
      <c r="O95" s="16" t="str">
        <f>IF(AND(O$10&gt;=$D95,O$11&lt;=$E95),VLOOKUP($F95,$K$2:AC$8,O$1,"Falsch"),"")</f>
        <v/>
      </c>
      <c r="P95" s="16" t="str">
        <f>IF(AND(P$10&gt;=$D95,P$11&lt;=$E95),VLOOKUP($F95,$K$2:AD$8,P$1,"Falsch"),"")</f>
        <v/>
      </c>
      <c r="Q95" s="16" t="str">
        <f>IF(AND(Q$10&gt;=$D95,Q$11&lt;=$E95),VLOOKUP($F95,$K$2:AE$8,Q$1,"Falsch"),"")</f>
        <v/>
      </c>
      <c r="R95" s="16" t="str">
        <f>IF(AND(R$10&gt;=$D95,R$11&lt;=$E95),VLOOKUP($F95,$K$2:AF$8,R$1,"Falsch"),"")</f>
        <v/>
      </c>
      <c r="S95" s="16" t="str">
        <f>IF(AND(S$10&gt;=$D95,S$11&lt;=$E95),VLOOKUP($F95,$K$2:AG$8,S$1,"Falsch"),"")</f>
        <v/>
      </c>
      <c r="T95" s="16" t="str">
        <f>IF(AND(T$10&gt;=$D95,T$11&lt;=$E95),VLOOKUP($F95,$K$2:AH$8,T$1,"Falsch"),"")</f>
        <v/>
      </c>
      <c r="U95" s="16" t="str">
        <f>IF(AND(U$10&gt;=$D95,U$11&lt;=$E95),VLOOKUP($F95,$K$2:AI$8,U$1,"Falsch"),"")</f>
        <v/>
      </c>
      <c r="V95" s="16" t="str">
        <f>IF(AND(V$10&gt;=$D95,V$11&lt;=$E95),VLOOKUP($F95,$K$2:AJ$8,V$1,"Falsch"),"")</f>
        <v/>
      </c>
      <c r="W95" s="16" t="str">
        <f>IF(AND(W$10&gt;=$D95,W$11&lt;=$E95),VLOOKUP($F95,$K$2:AK$8,W$1,"Falsch"),"")</f>
        <v/>
      </c>
      <c r="X95" s="16" t="str">
        <f>IF(AND(X$10&gt;=$D95,X$11&lt;=$E95),VLOOKUP($F95,$K$2:AL$8,X$1,"Falsch"),"")</f>
        <v/>
      </c>
      <c r="Y95" s="16" t="str">
        <f>IF(AND(Y$10&gt;=$D95,Y$11&lt;=$E95),VLOOKUP($F95,$K$2:AM$8,Y$1,"Falsch"),"")</f>
        <v/>
      </c>
      <c r="Z95" s="16" t="str">
        <f>IF(AND(Z$10&gt;=$D95,Z$11&lt;=$E95),VLOOKUP($F95,$K$2:AN$8,Z$1,"Falsch"),"")</f>
        <v/>
      </c>
      <c r="AA95" s="16" t="str">
        <f>IF(AND(AA$10&gt;=$D95,AA$11&lt;=$E95),VLOOKUP($F95,$K$2:AO$8,AA$1,"Falsch"),"")</f>
        <v/>
      </c>
      <c r="AB95" s="16" t="str">
        <f>IF(AND(AB$10&gt;=$D95,AB$11&lt;=$E95),VLOOKUP($F95,$K$2:AP$8,AB$1,"Falsch"),"")</f>
        <v/>
      </c>
      <c r="AC95" s="16" t="str">
        <f>IF(AND(AC$10&gt;=$D95,AC$11&lt;=$E95),VLOOKUP($F95,$K$2:AQ$8,AC$1,"Falsch"),"")</f>
        <v/>
      </c>
      <c r="AD95" s="16" t="str">
        <f>IF(AND(AD$10&gt;=$D95,AD$11&lt;=$E95),VLOOKUP($F95,$K$2:AR$8,AD$1,"Falsch"),"")</f>
        <v/>
      </c>
    </row>
    <row r="96" spans="9:30" x14ac:dyDescent="0.25">
      <c r="I96" s="21">
        <f t="shared" si="31"/>
        <v>0</v>
      </c>
      <c r="K96" s="25">
        <f t="shared" si="32"/>
        <v>0</v>
      </c>
      <c r="L96" s="16" t="str">
        <f>IF(AND(L$10&gt;=$D96,L$11&lt;=$E96),VLOOKUP($F96,$K$2:Z$8,L$1,"Falsch"),"")</f>
        <v/>
      </c>
      <c r="M96" s="16" t="str">
        <f>IF(AND(M$10&gt;=$D96,M$11&lt;=$E96),VLOOKUP($F96,$K$2:AA$8,M$1,"Falsch"),"")</f>
        <v/>
      </c>
      <c r="N96" s="16" t="str">
        <f>IF(AND(N$10&gt;=$D96,N$11&lt;=$E96),VLOOKUP($F96,$K$2:AB$8,N$1,"Falsch"),"")</f>
        <v/>
      </c>
      <c r="O96" s="16" t="str">
        <f>IF(AND(O$10&gt;=$D96,O$11&lt;=$E96),VLOOKUP($F96,$K$2:AC$8,O$1,"Falsch"),"")</f>
        <v/>
      </c>
      <c r="P96" s="16" t="str">
        <f>IF(AND(P$10&gt;=$D96,P$11&lt;=$E96),VLOOKUP($F96,$K$2:AD$8,P$1,"Falsch"),"")</f>
        <v/>
      </c>
      <c r="Q96" s="16" t="str">
        <f>IF(AND(Q$10&gt;=$D96,Q$11&lt;=$E96),VLOOKUP($F96,$K$2:AE$8,Q$1,"Falsch"),"")</f>
        <v/>
      </c>
      <c r="R96" s="16" t="str">
        <f>IF(AND(R$10&gt;=$D96,R$11&lt;=$E96),VLOOKUP($F96,$K$2:AF$8,R$1,"Falsch"),"")</f>
        <v/>
      </c>
      <c r="S96" s="16" t="str">
        <f>IF(AND(S$10&gt;=$D96,S$11&lt;=$E96),VLOOKUP($F96,$K$2:AG$8,S$1,"Falsch"),"")</f>
        <v/>
      </c>
      <c r="T96" s="16" t="str">
        <f>IF(AND(T$10&gt;=$D96,T$11&lt;=$E96),VLOOKUP($F96,$K$2:AH$8,T$1,"Falsch"),"")</f>
        <v/>
      </c>
      <c r="U96" s="16" t="str">
        <f>IF(AND(U$10&gt;=$D96,U$11&lt;=$E96),VLOOKUP($F96,$K$2:AI$8,U$1,"Falsch"),"")</f>
        <v/>
      </c>
      <c r="V96" s="16" t="str">
        <f>IF(AND(V$10&gt;=$D96,V$11&lt;=$E96),VLOOKUP($F96,$K$2:AJ$8,V$1,"Falsch"),"")</f>
        <v/>
      </c>
      <c r="W96" s="16" t="str">
        <f>IF(AND(W$10&gt;=$D96,W$11&lt;=$E96),VLOOKUP($F96,$K$2:AK$8,W$1,"Falsch"),"")</f>
        <v/>
      </c>
      <c r="X96" s="16" t="str">
        <f>IF(AND(X$10&gt;=$D96,X$11&lt;=$E96),VLOOKUP($F96,$K$2:AL$8,X$1,"Falsch"),"")</f>
        <v/>
      </c>
      <c r="Y96" s="16" t="str">
        <f>IF(AND(Y$10&gt;=$D96,Y$11&lt;=$E96),VLOOKUP($F96,$K$2:AM$8,Y$1,"Falsch"),"")</f>
        <v/>
      </c>
      <c r="Z96" s="16" t="str">
        <f>IF(AND(Z$10&gt;=$D96,Z$11&lt;=$E96),VLOOKUP($F96,$K$2:AN$8,Z$1,"Falsch"),"")</f>
        <v/>
      </c>
      <c r="AA96" s="16" t="str">
        <f>IF(AND(AA$10&gt;=$D96,AA$11&lt;=$E96),VLOOKUP($F96,$K$2:AO$8,AA$1,"Falsch"),"")</f>
        <v/>
      </c>
      <c r="AB96" s="16" t="str">
        <f>IF(AND(AB$10&gt;=$D96,AB$11&lt;=$E96),VLOOKUP($F96,$K$2:AP$8,AB$1,"Falsch"),"")</f>
        <v/>
      </c>
      <c r="AC96" s="16" t="str">
        <f>IF(AND(AC$10&gt;=$D96,AC$11&lt;=$E96),VLOOKUP($F96,$K$2:AQ$8,AC$1,"Falsch"),"")</f>
        <v/>
      </c>
      <c r="AD96" s="16" t="str">
        <f>IF(AND(AD$10&gt;=$D96,AD$11&lt;=$E96),VLOOKUP($F96,$K$2:AR$8,AD$1,"Falsch"),"")</f>
        <v/>
      </c>
    </row>
    <row r="97" spans="9:30" x14ac:dyDescent="0.25">
      <c r="I97" s="21">
        <f t="shared" si="31"/>
        <v>0</v>
      </c>
      <c r="K97" s="25">
        <f t="shared" si="32"/>
        <v>0</v>
      </c>
      <c r="L97" s="16" t="str">
        <f>IF(AND(L$10&gt;=$D97,L$11&lt;=$E97),VLOOKUP($F97,$K$2:Z$8,L$1,"Falsch"),"")</f>
        <v/>
      </c>
      <c r="M97" s="16" t="str">
        <f>IF(AND(M$10&gt;=$D97,M$11&lt;=$E97),VLOOKUP($F97,$K$2:AA$8,M$1,"Falsch"),"")</f>
        <v/>
      </c>
      <c r="N97" s="16" t="str">
        <f>IF(AND(N$10&gt;=$D97,N$11&lt;=$E97),VLOOKUP($F97,$K$2:AB$8,N$1,"Falsch"),"")</f>
        <v/>
      </c>
      <c r="O97" s="16" t="str">
        <f>IF(AND(O$10&gt;=$D97,O$11&lt;=$E97),VLOOKUP($F97,$K$2:AC$8,O$1,"Falsch"),"")</f>
        <v/>
      </c>
      <c r="P97" s="16" t="str">
        <f>IF(AND(P$10&gt;=$D97,P$11&lt;=$E97),VLOOKUP($F97,$K$2:AD$8,P$1,"Falsch"),"")</f>
        <v/>
      </c>
      <c r="Q97" s="16" t="str">
        <f>IF(AND(Q$10&gt;=$D97,Q$11&lt;=$E97),VLOOKUP($F97,$K$2:AE$8,Q$1,"Falsch"),"")</f>
        <v/>
      </c>
      <c r="R97" s="16" t="str">
        <f>IF(AND(R$10&gt;=$D97,R$11&lt;=$E97),VLOOKUP($F97,$K$2:AF$8,R$1,"Falsch"),"")</f>
        <v/>
      </c>
      <c r="S97" s="16" t="str">
        <f>IF(AND(S$10&gt;=$D97,S$11&lt;=$E97),VLOOKUP($F97,$K$2:AG$8,S$1,"Falsch"),"")</f>
        <v/>
      </c>
      <c r="T97" s="16" t="str">
        <f>IF(AND(T$10&gt;=$D97,T$11&lt;=$E97),VLOOKUP($F97,$K$2:AH$8,T$1,"Falsch"),"")</f>
        <v/>
      </c>
      <c r="U97" s="16" t="str">
        <f>IF(AND(U$10&gt;=$D97,U$11&lt;=$E97),VLOOKUP($F97,$K$2:AI$8,U$1,"Falsch"),"")</f>
        <v/>
      </c>
      <c r="V97" s="16" t="str">
        <f>IF(AND(V$10&gt;=$D97,V$11&lt;=$E97),VLOOKUP($F97,$K$2:AJ$8,V$1,"Falsch"),"")</f>
        <v/>
      </c>
      <c r="W97" s="16" t="str">
        <f>IF(AND(W$10&gt;=$D97,W$11&lt;=$E97),VLOOKUP($F97,$K$2:AK$8,W$1,"Falsch"),"")</f>
        <v/>
      </c>
      <c r="X97" s="16" t="str">
        <f>IF(AND(X$10&gt;=$D97,X$11&lt;=$E97),VLOOKUP($F97,$K$2:AL$8,X$1,"Falsch"),"")</f>
        <v/>
      </c>
      <c r="Y97" s="16" t="str">
        <f>IF(AND(Y$10&gt;=$D97,Y$11&lt;=$E97),VLOOKUP($F97,$K$2:AM$8,Y$1,"Falsch"),"")</f>
        <v/>
      </c>
      <c r="Z97" s="16" t="str">
        <f>IF(AND(Z$10&gt;=$D97,Z$11&lt;=$E97),VLOOKUP($F97,$K$2:AN$8,Z$1,"Falsch"),"")</f>
        <v/>
      </c>
      <c r="AA97" s="16" t="str">
        <f>IF(AND(AA$10&gt;=$D97,AA$11&lt;=$E97),VLOOKUP($F97,$K$2:AO$8,AA$1,"Falsch"),"")</f>
        <v/>
      </c>
      <c r="AB97" s="16" t="str">
        <f>IF(AND(AB$10&gt;=$D97,AB$11&lt;=$E97),VLOOKUP($F97,$K$2:AP$8,AB$1,"Falsch"),"")</f>
        <v/>
      </c>
      <c r="AC97" s="16" t="str">
        <f>IF(AND(AC$10&gt;=$D97,AC$11&lt;=$E97),VLOOKUP($F97,$K$2:AQ$8,AC$1,"Falsch"),"")</f>
        <v/>
      </c>
      <c r="AD97" s="16" t="str">
        <f>IF(AND(AD$10&gt;=$D97,AD$11&lt;=$E97),VLOOKUP($F97,$K$2:AR$8,AD$1,"Falsch"),"")</f>
        <v/>
      </c>
    </row>
    <row r="98" spans="9:30" x14ac:dyDescent="0.25">
      <c r="I98" s="21">
        <f t="shared" si="31"/>
        <v>0</v>
      </c>
      <c r="K98" s="25">
        <f t="shared" si="32"/>
        <v>0</v>
      </c>
      <c r="L98" s="16" t="str">
        <f>IF(AND(L$10&gt;=$D98,L$11&lt;=$E98),VLOOKUP($F98,$K$2:Z$8,L$1,"Falsch"),"")</f>
        <v/>
      </c>
      <c r="M98" s="16" t="str">
        <f>IF(AND(M$10&gt;=$D98,M$11&lt;=$E98),VLOOKUP($F98,$K$2:AA$8,M$1,"Falsch"),"")</f>
        <v/>
      </c>
      <c r="N98" s="16" t="str">
        <f>IF(AND(N$10&gt;=$D98,N$11&lt;=$E98),VLOOKUP($F98,$K$2:AB$8,N$1,"Falsch"),"")</f>
        <v/>
      </c>
      <c r="O98" s="16" t="str">
        <f>IF(AND(O$10&gt;=$D98,O$11&lt;=$E98),VLOOKUP($F98,$K$2:AC$8,O$1,"Falsch"),"")</f>
        <v/>
      </c>
      <c r="P98" s="16" t="str">
        <f>IF(AND(P$10&gt;=$D98,P$11&lt;=$E98),VLOOKUP($F98,$K$2:AD$8,P$1,"Falsch"),"")</f>
        <v/>
      </c>
      <c r="Q98" s="16" t="str">
        <f>IF(AND(Q$10&gt;=$D98,Q$11&lt;=$E98),VLOOKUP($F98,$K$2:AE$8,Q$1,"Falsch"),"")</f>
        <v/>
      </c>
      <c r="R98" s="16" t="str">
        <f>IF(AND(R$10&gt;=$D98,R$11&lt;=$E98),VLOOKUP($F98,$K$2:AF$8,R$1,"Falsch"),"")</f>
        <v/>
      </c>
      <c r="S98" s="16" t="str">
        <f>IF(AND(S$10&gt;=$D98,S$11&lt;=$E98),VLOOKUP($F98,$K$2:AG$8,S$1,"Falsch"),"")</f>
        <v/>
      </c>
      <c r="T98" s="16" t="str">
        <f>IF(AND(T$10&gt;=$D98,T$11&lt;=$E98),VLOOKUP($F98,$K$2:AH$8,T$1,"Falsch"),"")</f>
        <v/>
      </c>
      <c r="U98" s="16" t="str">
        <f>IF(AND(U$10&gt;=$D98,U$11&lt;=$E98),VLOOKUP($F98,$K$2:AI$8,U$1,"Falsch"),"")</f>
        <v/>
      </c>
      <c r="V98" s="16" t="str">
        <f>IF(AND(V$10&gt;=$D98,V$11&lt;=$E98),VLOOKUP($F98,$K$2:AJ$8,V$1,"Falsch"),"")</f>
        <v/>
      </c>
      <c r="W98" s="16" t="str">
        <f>IF(AND(W$10&gt;=$D98,W$11&lt;=$E98),VLOOKUP($F98,$K$2:AK$8,W$1,"Falsch"),"")</f>
        <v/>
      </c>
      <c r="X98" s="16" t="str">
        <f>IF(AND(X$10&gt;=$D98,X$11&lt;=$E98),VLOOKUP($F98,$K$2:AL$8,X$1,"Falsch"),"")</f>
        <v/>
      </c>
      <c r="Y98" s="16" t="str">
        <f>IF(AND(Y$10&gt;=$D98,Y$11&lt;=$E98),VLOOKUP($F98,$K$2:AM$8,Y$1,"Falsch"),"")</f>
        <v/>
      </c>
      <c r="Z98" s="16" t="str">
        <f>IF(AND(Z$10&gt;=$D98,Z$11&lt;=$E98),VLOOKUP($F98,$K$2:AN$8,Z$1,"Falsch"),"")</f>
        <v/>
      </c>
      <c r="AA98" s="16" t="str">
        <f>IF(AND(AA$10&gt;=$D98,AA$11&lt;=$E98),VLOOKUP($F98,$K$2:AO$8,AA$1,"Falsch"),"")</f>
        <v/>
      </c>
      <c r="AB98" s="16" t="str">
        <f>IF(AND(AB$10&gt;=$D98,AB$11&lt;=$E98),VLOOKUP($F98,$K$2:AP$8,AB$1,"Falsch"),"")</f>
        <v/>
      </c>
      <c r="AC98" s="16" t="str">
        <f>IF(AND(AC$10&gt;=$D98,AC$11&lt;=$E98),VLOOKUP($F98,$K$2:AQ$8,AC$1,"Falsch"),"")</f>
        <v/>
      </c>
      <c r="AD98" s="16" t="str">
        <f>IF(AND(AD$10&gt;=$D98,AD$11&lt;=$E98),VLOOKUP($F98,$K$2:AR$8,AD$1,"Falsch"),"")</f>
        <v/>
      </c>
    </row>
    <row r="99" spans="9:30" x14ac:dyDescent="0.25">
      <c r="I99" s="21">
        <f t="shared" si="31"/>
        <v>0</v>
      </c>
      <c r="K99" s="25">
        <f t="shared" si="32"/>
        <v>0</v>
      </c>
      <c r="L99" s="16" t="str">
        <f>IF(AND(L$10&gt;=$D99,L$11&lt;=$E99),VLOOKUP($F99,$K$2:Z$8,L$1,"Falsch"),"")</f>
        <v/>
      </c>
      <c r="M99" s="16" t="str">
        <f>IF(AND(M$10&gt;=$D99,M$11&lt;=$E99),VLOOKUP($F99,$K$2:AA$8,M$1,"Falsch"),"")</f>
        <v/>
      </c>
      <c r="N99" s="16" t="str">
        <f>IF(AND(N$10&gt;=$D99,N$11&lt;=$E99),VLOOKUP($F99,$K$2:AB$8,N$1,"Falsch"),"")</f>
        <v/>
      </c>
      <c r="O99" s="16" t="str">
        <f>IF(AND(O$10&gt;=$D99,O$11&lt;=$E99),VLOOKUP($F99,$K$2:AC$8,O$1,"Falsch"),"")</f>
        <v/>
      </c>
      <c r="P99" s="16" t="str">
        <f>IF(AND(P$10&gt;=$D99,P$11&lt;=$E99),VLOOKUP($F99,$K$2:AD$8,P$1,"Falsch"),"")</f>
        <v/>
      </c>
      <c r="Q99" s="16" t="str">
        <f>IF(AND(Q$10&gt;=$D99,Q$11&lt;=$E99),VLOOKUP($F99,$K$2:AE$8,Q$1,"Falsch"),"")</f>
        <v/>
      </c>
      <c r="R99" s="16" t="str">
        <f>IF(AND(R$10&gt;=$D99,R$11&lt;=$E99),VLOOKUP($F99,$K$2:AF$8,R$1,"Falsch"),"")</f>
        <v/>
      </c>
      <c r="S99" s="16" t="str">
        <f>IF(AND(S$10&gt;=$D99,S$11&lt;=$E99),VLOOKUP($F99,$K$2:AG$8,S$1,"Falsch"),"")</f>
        <v/>
      </c>
      <c r="T99" s="16" t="str">
        <f>IF(AND(T$10&gt;=$D99,T$11&lt;=$E99),VLOOKUP($F99,$K$2:AH$8,T$1,"Falsch"),"")</f>
        <v/>
      </c>
      <c r="U99" s="16" t="str">
        <f>IF(AND(U$10&gt;=$D99,U$11&lt;=$E99),VLOOKUP($F99,$K$2:AI$8,U$1,"Falsch"),"")</f>
        <v/>
      </c>
      <c r="V99" s="16" t="str">
        <f>IF(AND(V$10&gt;=$D99,V$11&lt;=$E99),VLOOKUP($F99,$K$2:AJ$8,V$1,"Falsch"),"")</f>
        <v/>
      </c>
      <c r="W99" s="16" t="str">
        <f>IF(AND(W$10&gt;=$D99,W$11&lt;=$E99),VLOOKUP($F99,$K$2:AK$8,W$1,"Falsch"),"")</f>
        <v/>
      </c>
      <c r="X99" s="16" t="str">
        <f>IF(AND(X$10&gt;=$D99,X$11&lt;=$E99),VLOOKUP($F99,$K$2:AL$8,X$1,"Falsch"),"")</f>
        <v/>
      </c>
      <c r="Y99" s="16" t="str">
        <f>IF(AND(Y$10&gt;=$D99,Y$11&lt;=$E99),VLOOKUP($F99,$K$2:AM$8,Y$1,"Falsch"),"")</f>
        <v/>
      </c>
      <c r="Z99" s="16" t="str">
        <f>IF(AND(Z$10&gt;=$D99,Z$11&lt;=$E99),VLOOKUP($F99,$K$2:AN$8,Z$1,"Falsch"),"")</f>
        <v/>
      </c>
      <c r="AA99" s="16" t="str">
        <f>IF(AND(AA$10&gt;=$D99,AA$11&lt;=$E99),VLOOKUP($F99,$K$2:AO$8,AA$1,"Falsch"),"")</f>
        <v/>
      </c>
      <c r="AB99" s="16" t="str">
        <f>IF(AND(AB$10&gt;=$D99,AB$11&lt;=$E99),VLOOKUP($F99,$K$2:AP$8,AB$1,"Falsch"),"")</f>
        <v/>
      </c>
      <c r="AC99" s="16" t="str">
        <f>IF(AND(AC$10&gt;=$D99,AC$11&lt;=$E99),VLOOKUP($F99,$K$2:AQ$8,AC$1,"Falsch"),"")</f>
        <v/>
      </c>
      <c r="AD99" s="16" t="str">
        <f>IF(AND(AD$10&gt;=$D99,AD$11&lt;=$E99),VLOOKUP($F99,$K$2:AR$8,AD$1,"Falsch"),"")</f>
        <v/>
      </c>
    </row>
    <row r="100" spans="9:30" x14ac:dyDescent="0.25">
      <c r="I100" s="21">
        <f t="shared" si="31"/>
        <v>0</v>
      </c>
      <c r="K100" s="25">
        <f t="shared" si="32"/>
        <v>0</v>
      </c>
      <c r="L100" s="16" t="str">
        <f>IF(AND(L$10&gt;=$D100,L$11&lt;=$E100),VLOOKUP($F100,$K$2:Z$8,L$1,"Falsch"),"")</f>
        <v/>
      </c>
      <c r="M100" s="16" t="str">
        <f>IF(AND(M$10&gt;=$D100,M$11&lt;=$E100),VLOOKUP($F100,$K$2:AA$8,M$1,"Falsch"),"")</f>
        <v/>
      </c>
      <c r="N100" s="16" t="str">
        <f>IF(AND(N$10&gt;=$D100,N$11&lt;=$E100),VLOOKUP($F100,$K$2:AB$8,N$1,"Falsch"),"")</f>
        <v/>
      </c>
      <c r="O100" s="16" t="str">
        <f>IF(AND(O$10&gt;=$D100,O$11&lt;=$E100),VLOOKUP($F100,$K$2:AC$8,O$1,"Falsch"),"")</f>
        <v/>
      </c>
      <c r="P100" s="16" t="str">
        <f>IF(AND(P$10&gt;=$D100,P$11&lt;=$E100),VLOOKUP($F100,$K$2:AD$8,P$1,"Falsch"),"")</f>
        <v/>
      </c>
      <c r="Q100" s="16" t="str">
        <f>IF(AND(Q$10&gt;=$D100,Q$11&lt;=$E100),VLOOKUP($F100,$K$2:AE$8,Q$1,"Falsch"),"")</f>
        <v/>
      </c>
      <c r="R100" s="16" t="str">
        <f>IF(AND(R$10&gt;=$D100,R$11&lt;=$E100),VLOOKUP($F100,$K$2:AF$8,R$1,"Falsch"),"")</f>
        <v/>
      </c>
      <c r="S100" s="16" t="str">
        <f>IF(AND(S$10&gt;=$D100,S$11&lt;=$E100),VLOOKUP($F100,$K$2:AG$8,S$1,"Falsch"),"")</f>
        <v/>
      </c>
      <c r="T100" s="16" t="str">
        <f>IF(AND(T$10&gt;=$D100,T$11&lt;=$E100),VLOOKUP($F100,$K$2:AH$8,T$1,"Falsch"),"")</f>
        <v/>
      </c>
      <c r="U100" s="16" t="str">
        <f>IF(AND(U$10&gt;=$D100,U$11&lt;=$E100),VLOOKUP($F100,$K$2:AI$8,U$1,"Falsch"),"")</f>
        <v/>
      </c>
      <c r="V100" s="16" t="str">
        <f>IF(AND(V$10&gt;=$D100,V$11&lt;=$E100),VLOOKUP($F100,$K$2:AJ$8,V$1,"Falsch"),"")</f>
        <v/>
      </c>
      <c r="W100" s="16" t="str">
        <f>IF(AND(W$10&gt;=$D100,W$11&lt;=$E100),VLOOKUP($F100,$K$2:AK$8,W$1,"Falsch"),"")</f>
        <v/>
      </c>
      <c r="X100" s="16" t="str">
        <f>IF(AND(X$10&gt;=$D100,X$11&lt;=$E100),VLOOKUP($F100,$K$2:AL$8,X$1,"Falsch"),"")</f>
        <v/>
      </c>
      <c r="Y100" s="16" t="str">
        <f>IF(AND(Y$10&gt;=$D100,Y$11&lt;=$E100),VLOOKUP($F100,$K$2:AM$8,Y$1,"Falsch"),"")</f>
        <v/>
      </c>
      <c r="Z100" s="16" t="str">
        <f>IF(AND(Z$10&gt;=$D100,Z$11&lt;=$E100),VLOOKUP($F100,$K$2:AN$8,Z$1,"Falsch"),"")</f>
        <v/>
      </c>
      <c r="AA100" s="16" t="str">
        <f>IF(AND(AA$10&gt;=$D100,AA$11&lt;=$E100),VLOOKUP($F100,$K$2:AO$8,AA$1,"Falsch"),"")</f>
        <v/>
      </c>
      <c r="AB100" s="16" t="str">
        <f>IF(AND(AB$10&gt;=$D100,AB$11&lt;=$E100),VLOOKUP($F100,$K$2:AP$8,AB$1,"Falsch"),"")</f>
        <v/>
      </c>
      <c r="AC100" s="16" t="str">
        <f>IF(AND(AC$10&gt;=$D100,AC$11&lt;=$E100),VLOOKUP($F100,$K$2:AQ$8,AC$1,"Falsch"),"")</f>
        <v/>
      </c>
      <c r="AD100" s="16" t="str">
        <f>IF(AND(AD$10&gt;=$D100,AD$11&lt;=$E100),VLOOKUP($F100,$K$2:AR$8,AD$1,"Falsch"),"")</f>
        <v/>
      </c>
    </row>
    <row r="101" spans="9:30" x14ac:dyDescent="0.25">
      <c r="I101" s="21">
        <f t="shared" si="31"/>
        <v>0</v>
      </c>
      <c r="K101" s="25">
        <f t="shared" si="32"/>
        <v>0</v>
      </c>
      <c r="L101" s="16" t="str">
        <f>IF(AND(L$10&gt;=$D101,L$11&lt;=$E101),VLOOKUP($F101,$K$2:Z$8,L$1,"Falsch"),"")</f>
        <v/>
      </c>
      <c r="M101" s="16" t="str">
        <f>IF(AND(M$10&gt;=$D101,M$11&lt;=$E101),VLOOKUP($F101,$K$2:AA$8,M$1,"Falsch"),"")</f>
        <v/>
      </c>
      <c r="N101" s="16" t="str">
        <f>IF(AND(N$10&gt;=$D101,N$11&lt;=$E101),VLOOKUP($F101,$K$2:AB$8,N$1,"Falsch"),"")</f>
        <v/>
      </c>
      <c r="O101" s="16" t="str">
        <f>IF(AND(O$10&gt;=$D101,O$11&lt;=$E101),VLOOKUP($F101,$K$2:AC$8,O$1,"Falsch"),"")</f>
        <v/>
      </c>
      <c r="P101" s="16" t="str">
        <f>IF(AND(P$10&gt;=$D101,P$11&lt;=$E101),VLOOKUP($F101,$K$2:AD$8,P$1,"Falsch"),"")</f>
        <v/>
      </c>
      <c r="Q101" s="16" t="str">
        <f>IF(AND(Q$10&gt;=$D101,Q$11&lt;=$E101),VLOOKUP($F101,$K$2:AE$8,Q$1,"Falsch"),"")</f>
        <v/>
      </c>
      <c r="R101" s="16" t="str">
        <f>IF(AND(R$10&gt;=$D101,R$11&lt;=$E101),VLOOKUP($F101,$K$2:AF$8,R$1,"Falsch"),"")</f>
        <v/>
      </c>
      <c r="S101" s="16" t="str">
        <f>IF(AND(S$10&gt;=$D101,S$11&lt;=$E101),VLOOKUP($F101,$K$2:AG$8,S$1,"Falsch"),"")</f>
        <v/>
      </c>
      <c r="T101" s="16" t="str">
        <f>IF(AND(T$10&gt;=$D101,T$11&lt;=$E101),VLOOKUP($F101,$K$2:AH$8,T$1,"Falsch"),"")</f>
        <v/>
      </c>
      <c r="U101" s="16" t="str">
        <f>IF(AND(U$10&gt;=$D101,U$11&lt;=$E101),VLOOKUP($F101,$K$2:AI$8,U$1,"Falsch"),"")</f>
        <v/>
      </c>
      <c r="V101" s="16" t="str">
        <f>IF(AND(V$10&gt;=$D101,V$11&lt;=$E101),VLOOKUP($F101,$K$2:AJ$8,V$1,"Falsch"),"")</f>
        <v/>
      </c>
      <c r="W101" s="16" t="str">
        <f>IF(AND(W$10&gt;=$D101,W$11&lt;=$E101),VLOOKUP($F101,$K$2:AK$8,W$1,"Falsch"),"")</f>
        <v/>
      </c>
      <c r="X101" s="16" t="str">
        <f>IF(AND(X$10&gt;=$D101,X$11&lt;=$E101),VLOOKUP($F101,$K$2:AL$8,X$1,"Falsch"),"")</f>
        <v/>
      </c>
      <c r="Y101" s="16" t="str">
        <f>IF(AND(Y$10&gt;=$D101,Y$11&lt;=$E101),VLOOKUP($F101,$K$2:AM$8,Y$1,"Falsch"),"")</f>
        <v/>
      </c>
      <c r="Z101" s="16" t="str">
        <f>IF(AND(Z$10&gt;=$D101,Z$11&lt;=$E101),VLOOKUP($F101,$K$2:AN$8,Z$1,"Falsch"),"")</f>
        <v/>
      </c>
      <c r="AA101" s="16" t="str">
        <f>IF(AND(AA$10&gt;=$D101,AA$11&lt;=$E101),VLOOKUP($F101,$K$2:AO$8,AA$1,"Falsch"),"")</f>
        <v/>
      </c>
      <c r="AB101" s="16" t="str">
        <f>IF(AND(AB$10&gt;=$D101,AB$11&lt;=$E101),VLOOKUP($F101,$K$2:AP$8,AB$1,"Falsch"),"")</f>
        <v/>
      </c>
      <c r="AC101" s="16" t="str">
        <f>IF(AND(AC$10&gt;=$D101,AC$11&lt;=$E101),VLOOKUP($F101,$K$2:AQ$8,AC$1,"Falsch"),"")</f>
        <v/>
      </c>
      <c r="AD101" s="16" t="str">
        <f>IF(AND(AD$10&gt;=$D101,AD$11&lt;=$E101),VLOOKUP($F101,$K$2:AR$8,AD$1,"Falsch"),"")</f>
        <v/>
      </c>
    </row>
    <row r="102" spans="9:30" x14ac:dyDescent="0.25">
      <c r="I102" s="21">
        <f t="shared" si="31"/>
        <v>0</v>
      </c>
      <c r="K102" s="25">
        <f t="shared" si="32"/>
        <v>0</v>
      </c>
      <c r="L102" s="16" t="str">
        <f>IF(AND(L$10&gt;=$D102,L$11&lt;=$E102),VLOOKUP($F102,$K$2:Z$8,L$1,"Falsch"),"")</f>
        <v/>
      </c>
      <c r="M102" s="16" t="str">
        <f>IF(AND(M$10&gt;=$D102,M$11&lt;=$E102),VLOOKUP($F102,$K$2:AA$8,M$1,"Falsch"),"")</f>
        <v/>
      </c>
      <c r="N102" s="16" t="str">
        <f>IF(AND(N$10&gt;=$D102,N$11&lt;=$E102),VLOOKUP($F102,$K$2:AB$8,N$1,"Falsch"),"")</f>
        <v/>
      </c>
      <c r="O102" s="16" t="str">
        <f>IF(AND(O$10&gt;=$D102,O$11&lt;=$E102),VLOOKUP($F102,$K$2:AC$8,O$1,"Falsch"),"")</f>
        <v/>
      </c>
      <c r="P102" s="16" t="str">
        <f>IF(AND(P$10&gt;=$D102,P$11&lt;=$E102),VLOOKUP($F102,$K$2:AD$8,P$1,"Falsch"),"")</f>
        <v/>
      </c>
      <c r="Q102" s="16" t="str">
        <f>IF(AND(Q$10&gt;=$D102,Q$11&lt;=$E102),VLOOKUP($F102,$K$2:AE$8,Q$1,"Falsch"),"")</f>
        <v/>
      </c>
      <c r="R102" s="16" t="str">
        <f>IF(AND(R$10&gt;=$D102,R$11&lt;=$E102),VLOOKUP($F102,$K$2:AF$8,R$1,"Falsch"),"")</f>
        <v/>
      </c>
      <c r="S102" s="16" t="str">
        <f>IF(AND(S$10&gt;=$D102,S$11&lt;=$E102),VLOOKUP($F102,$K$2:AG$8,S$1,"Falsch"),"")</f>
        <v/>
      </c>
      <c r="T102" s="16" t="str">
        <f>IF(AND(T$10&gt;=$D102,T$11&lt;=$E102),VLOOKUP($F102,$K$2:AH$8,T$1,"Falsch"),"")</f>
        <v/>
      </c>
      <c r="U102" s="16" t="str">
        <f>IF(AND(U$10&gt;=$D102,U$11&lt;=$E102),VLOOKUP($F102,$K$2:AI$8,U$1,"Falsch"),"")</f>
        <v/>
      </c>
      <c r="V102" s="16" t="str">
        <f>IF(AND(V$10&gt;=$D102,V$11&lt;=$E102),VLOOKUP($F102,$K$2:AJ$8,V$1,"Falsch"),"")</f>
        <v/>
      </c>
      <c r="W102" s="16" t="str">
        <f>IF(AND(W$10&gt;=$D102,W$11&lt;=$E102),VLOOKUP($F102,$K$2:AK$8,W$1,"Falsch"),"")</f>
        <v/>
      </c>
      <c r="X102" s="16" t="str">
        <f>IF(AND(X$10&gt;=$D102,X$11&lt;=$E102),VLOOKUP($F102,$K$2:AL$8,X$1,"Falsch"),"")</f>
        <v/>
      </c>
      <c r="Y102" s="16" t="str">
        <f>IF(AND(Y$10&gt;=$D102,Y$11&lt;=$E102),VLOOKUP($F102,$K$2:AM$8,Y$1,"Falsch"),"")</f>
        <v/>
      </c>
      <c r="Z102" s="16" t="str">
        <f>IF(AND(Z$10&gt;=$D102,Z$11&lt;=$E102),VLOOKUP($F102,$K$2:AN$8,Z$1,"Falsch"),"")</f>
        <v/>
      </c>
      <c r="AA102" s="16" t="str">
        <f>IF(AND(AA$10&gt;=$D102,AA$11&lt;=$E102),VLOOKUP($F102,$K$2:AO$8,AA$1,"Falsch"),"")</f>
        <v/>
      </c>
      <c r="AB102" s="16" t="str">
        <f>IF(AND(AB$10&gt;=$D102,AB$11&lt;=$E102),VLOOKUP($F102,$K$2:AP$8,AB$1,"Falsch"),"")</f>
        <v/>
      </c>
      <c r="AC102" s="16" t="str">
        <f>IF(AND(AC$10&gt;=$D102,AC$11&lt;=$E102),VLOOKUP($F102,$K$2:AQ$8,AC$1,"Falsch"),"")</f>
        <v/>
      </c>
      <c r="AD102" s="16" t="str">
        <f>IF(AND(AD$10&gt;=$D102,AD$11&lt;=$E102),VLOOKUP($F102,$K$2:AR$8,AD$1,"Falsch"),"")</f>
        <v/>
      </c>
    </row>
    <row r="103" spans="9:30" x14ac:dyDescent="0.25">
      <c r="I103" s="21">
        <f t="shared" si="31"/>
        <v>0</v>
      </c>
      <c r="K103" s="25">
        <f t="shared" si="32"/>
        <v>0</v>
      </c>
      <c r="L103" s="16" t="str">
        <f>IF(AND(L$10&gt;=$D103,L$11&lt;=$E103),VLOOKUP($F103,$K$2:Z$8,L$1,"Falsch"),"")</f>
        <v/>
      </c>
      <c r="M103" s="16" t="str">
        <f>IF(AND(M$10&gt;=$D103,M$11&lt;=$E103),VLOOKUP($F103,$K$2:AA$8,M$1,"Falsch"),"")</f>
        <v/>
      </c>
      <c r="N103" s="16" t="str">
        <f>IF(AND(N$10&gt;=$D103,N$11&lt;=$E103),VLOOKUP($F103,$K$2:AB$8,N$1,"Falsch"),"")</f>
        <v/>
      </c>
      <c r="O103" s="16" t="str">
        <f>IF(AND(O$10&gt;=$D103,O$11&lt;=$E103),VLOOKUP($F103,$K$2:AC$8,O$1,"Falsch"),"")</f>
        <v/>
      </c>
      <c r="P103" s="16" t="str">
        <f>IF(AND(P$10&gt;=$D103,P$11&lt;=$E103),VLOOKUP($F103,$K$2:AD$8,P$1,"Falsch"),"")</f>
        <v/>
      </c>
      <c r="Q103" s="16" t="str">
        <f>IF(AND(Q$10&gt;=$D103,Q$11&lt;=$E103),VLOOKUP($F103,$K$2:AE$8,Q$1,"Falsch"),"")</f>
        <v/>
      </c>
      <c r="R103" s="16" t="str">
        <f>IF(AND(R$10&gt;=$D103,R$11&lt;=$E103),VLOOKUP($F103,$K$2:AF$8,R$1,"Falsch"),"")</f>
        <v/>
      </c>
      <c r="S103" s="16" t="str">
        <f>IF(AND(S$10&gt;=$D103,S$11&lt;=$E103),VLOOKUP($F103,$K$2:AG$8,S$1,"Falsch"),"")</f>
        <v/>
      </c>
      <c r="T103" s="16" t="str">
        <f>IF(AND(T$10&gt;=$D103,T$11&lt;=$E103),VLOOKUP($F103,$K$2:AH$8,T$1,"Falsch"),"")</f>
        <v/>
      </c>
      <c r="U103" s="16" t="str">
        <f>IF(AND(U$10&gt;=$D103,U$11&lt;=$E103),VLOOKUP($F103,$K$2:AI$8,U$1,"Falsch"),"")</f>
        <v/>
      </c>
      <c r="V103" s="16" t="str">
        <f>IF(AND(V$10&gt;=$D103,V$11&lt;=$E103),VLOOKUP($F103,$K$2:AJ$8,V$1,"Falsch"),"")</f>
        <v/>
      </c>
      <c r="W103" s="16" t="str">
        <f>IF(AND(W$10&gt;=$D103,W$11&lt;=$E103),VLOOKUP($F103,$K$2:AK$8,W$1,"Falsch"),"")</f>
        <v/>
      </c>
      <c r="X103" s="16" t="str">
        <f>IF(AND(X$10&gt;=$D103,X$11&lt;=$E103),VLOOKUP($F103,$K$2:AL$8,X$1,"Falsch"),"")</f>
        <v/>
      </c>
      <c r="Y103" s="16" t="str">
        <f>IF(AND(Y$10&gt;=$D103,Y$11&lt;=$E103),VLOOKUP($F103,$K$2:AM$8,Y$1,"Falsch"),"")</f>
        <v/>
      </c>
      <c r="Z103" s="16" t="str">
        <f>IF(AND(Z$10&gt;=$D103,Z$11&lt;=$E103),VLOOKUP($F103,$K$2:AN$8,Z$1,"Falsch"),"")</f>
        <v/>
      </c>
      <c r="AA103" s="16" t="str">
        <f>IF(AND(AA$10&gt;=$D103,AA$11&lt;=$E103),VLOOKUP($F103,$K$2:AO$8,AA$1,"Falsch"),"")</f>
        <v/>
      </c>
      <c r="AB103" s="16" t="str">
        <f>IF(AND(AB$10&gt;=$D103,AB$11&lt;=$E103),VLOOKUP($F103,$K$2:AP$8,AB$1,"Falsch"),"")</f>
        <v/>
      </c>
      <c r="AC103" s="16" t="str">
        <f>IF(AND(AC$10&gt;=$D103,AC$11&lt;=$E103),VLOOKUP($F103,$K$2:AQ$8,AC$1,"Falsch"),"")</f>
        <v/>
      </c>
      <c r="AD103" s="16" t="str">
        <f>IF(AND(AD$10&gt;=$D103,AD$11&lt;=$E103),VLOOKUP($F103,$K$2:AR$8,AD$1,"Falsch"),"")</f>
        <v/>
      </c>
    </row>
    <row r="104" spans="9:30" x14ac:dyDescent="0.25">
      <c r="I104" s="21">
        <f t="shared" si="31"/>
        <v>0</v>
      </c>
      <c r="K104" s="25">
        <f t="shared" si="32"/>
        <v>0</v>
      </c>
      <c r="L104" s="16" t="str">
        <f>IF(AND(L$10&gt;=$D104,L$11&lt;=$E104),VLOOKUP($F104,$K$2:Z$8,L$1,"Falsch"),"")</f>
        <v/>
      </c>
      <c r="M104" s="16" t="str">
        <f>IF(AND(M$10&gt;=$D104,M$11&lt;=$E104),VLOOKUP($F104,$K$2:AA$8,M$1,"Falsch"),"")</f>
        <v/>
      </c>
      <c r="N104" s="16" t="str">
        <f>IF(AND(N$10&gt;=$D104,N$11&lt;=$E104),VLOOKUP($F104,$K$2:AB$8,N$1,"Falsch"),"")</f>
        <v/>
      </c>
      <c r="O104" s="16" t="str">
        <f>IF(AND(O$10&gt;=$D104,O$11&lt;=$E104),VLOOKUP($F104,$K$2:AC$8,O$1,"Falsch"),"")</f>
        <v/>
      </c>
      <c r="P104" s="16" t="str">
        <f>IF(AND(P$10&gt;=$D104,P$11&lt;=$E104),VLOOKUP($F104,$K$2:AD$8,P$1,"Falsch"),"")</f>
        <v/>
      </c>
      <c r="Q104" s="16" t="str">
        <f>IF(AND(Q$10&gt;=$D104,Q$11&lt;=$E104),VLOOKUP($F104,$K$2:AE$8,Q$1,"Falsch"),"")</f>
        <v/>
      </c>
      <c r="R104" s="16" t="str">
        <f>IF(AND(R$10&gt;=$D104,R$11&lt;=$E104),VLOOKUP($F104,$K$2:AF$8,R$1,"Falsch"),"")</f>
        <v/>
      </c>
      <c r="S104" s="16" t="str">
        <f>IF(AND(S$10&gt;=$D104,S$11&lt;=$E104),VLOOKUP($F104,$K$2:AG$8,S$1,"Falsch"),"")</f>
        <v/>
      </c>
      <c r="T104" s="16" t="str">
        <f>IF(AND(T$10&gt;=$D104,T$11&lt;=$E104),VLOOKUP($F104,$K$2:AH$8,T$1,"Falsch"),"")</f>
        <v/>
      </c>
      <c r="U104" s="16" t="str">
        <f>IF(AND(U$10&gt;=$D104,U$11&lt;=$E104),VLOOKUP($F104,$K$2:AI$8,U$1,"Falsch"),"")</f>
        <v/>
      </c>
      <c r="V104" s="16" t="str">
        <f>IF(AND(V$10&gt;=$D104,V$11&lt;=$E104),VLOOKUP($F104,$K$2:AJ$8,V$1,"Falsch"),"")</f>
        <v/>
      </c>
      <c r="W104" s="16" t="str">
        <f>IF(AND(W$10&gt;=$D104,W$11&lt;=$E104),VLOOKUP($F104,$K$2:AK$8,W$1,"Falsch"),"")</f>
        <v/>
      </c>
      <c r="X104" s="16" t="str">
        <f>IF(AND(X$10&gt;=$D104,X$11&lt;=$E104),VLOOKUP($F104,$K$2:AL$8,X$1,"Falsch"),"")</f>
        <v/>
      </c>
      <c r="Y104" s="16" t="str">
        <f>IF(AND(Y$10&gt;=$D104,Y$11&lt;=$E104),VLOOKUP($F104,$K$2:AM$8,Y$1,"Falsch"),"")</f>
        <v/>
      </c>
      <c r="Z104" s="16" t="str">
        <f>IF(AND(Z$10&gt;=$D104,Z$11&lt;=$E104),VLOOKUP($F104,$K$2:AN$8,Z$1,"Falsch"),"")</f>
        <v/>
      </c>
      <c r="AA104" s="16" t="str">
        <f>IF(AND(AA$10&gt;=$D104,AA$11&lt;=$E104),VLOOKUP($F104,$K$2:AO$8,AA$1,"Falsch"),"")</f>
        <v/>
      </c>
      <c r="AB104" s="16" t="str">
        <f>IF(AND(AB$10&gt;=$D104,AB$11&lt;=$E104),VLOOKUP($F104,$K$2:AP$8,AB$1,"Falsch"),"")</f>
        <v/>
      </c>
      <c r="AC104" s="16" t="str">
        <f>IF(AND(AC$10&gt;=$D104,AC$11&lt;=$E104),VLOOKUP($F104,$K$2:AQ$8,AC$1,"Falsch"),"")</f>
        <v/>
      </c>
      <c r="AD104" s="16" t="str">
        <f>IF(AND(AD$10&gt;=$D104,AD$11&lt;=$E104),VLOOKUP($F104,$K$2:AR$8,AD$1,"Falsch"),"")</f>
        <v/>
      </c>
    </row>
    <row r="105" spans="9:30" x14ac:dyDescent="0.25">
      <c r="I105" s="21">
        <f t="shared" si="31"/>
        <v>0</v>
      </c>
      <c r="K105" s="25">
        <f t="shared" si="32"/>
        <v>0</v>
      </c>
      <c r="L105" s="16" t="str">
        <f>IF(AND(L$10&gt;=$D105,L$11&lt;=$E105),VLOOKUP($F105,$K$2:Z$8,L$1,"Falsch"),"")</f>
        <v/>
      </c>
      <c r="M105" s="16" t="str">
        <f>IF(AND(M$10&gt;=$D105,M$11&lt;=$E105),VLOOKUP($F105,$K$2:AA$8,M$1,"Falsch"),"")</f>
        <v/>
      </c>
      <c r="N105" s="16" t="str">
        <f>IF(AND(N$10&gt;=$D105,N$11&lt;=$E105),VLOOKUP($F105,$K$2:AB$8,N$1,"Falsch"),"")</f>
        <v/>
      </c>
      <c r="O105" s="16" t="str">
        <f>IF(AND(O$10&gt;=$D105,O$11&lt;=$E105),VLOOKUP($F105,$K$2:AC$8,O$1,"Falsch"),"")</f>
        <v/>
      </c>
      <c r="P105" s="16" t="str">
        <f>IF(AND(P$10&gt;=$D105,P$11&lt;=$E105),VLOOKUP($F105,$K$2:AD$8,P$1,"Falsch"),"")</f>
        <v/>
      </c>
      <c r="Q105" s="16" t="str">
        <f>IF(AND(Q$10&gt;=$D105,Q$11&lt;=$E105),VLOOKUP($F105,$K$2:AE$8,Q$1,"Falsch"),"")</f>
        <v/>
      </c>
      <c r="R105" s="16" t="str">
        <f>IF(AND(R$10&gt;=$D105,R$11&lt;=$E105),VLOOKUP($F105,$K$2:AF$8,R$1,"Falsch"),"")</f>
        <v/>
      </c>
      <c r="S105" s="16" t="str">
        <f>IF(AND(S$10&gt;=$D105,S$11&lt;=$E105),VLOOKUP($F105,$K$2:AG$8,S$1,"Falsch"),"")</f>
        <v/>
      </c>
      <c r="T105" s="16" t="str">
        <f>IF(AND(T$10&gt;=$D105,T$11&lt;=$E105),VLOOKUP($F105,$K$2:AH$8,T$1,"Falsch"),"")</f>
        <v/>
      </c>
      <c r="U105" s="16" t="str">
        <f>IF(AND(U$10&gt;=$D105,U$11&lt;=$E105),VLOOKUP($F105,$K$2:AI$8,U$1,"Falsch"),"")</f>
        <v/>
      </c>
      <c r="V105" s="16" t="str">
        <f>IF(AND(V$10&gt;=$D105,V$11&lt;=$E105),VLOOKUP($F105,$K$2:AJ$8,V$1,"Falsch"),"")</f>
        <v/>
      </c>
      <c r="W105" s="16" t="str">
        <f>IF(AND(W$10&gt;=$D105,W$11&lt;=$E105),VLOOKUP($F105,$K$2:AK$8,W$1,"Falsch"),"")</f>
        <v/>
      </c>
      <c r="X105" s="16" t="str">
        <f>IF(AND(X$10&gt;=$D105,X$11&lt;=$E105),VLOOKUP($F105,$K$2:AL$8,X$1,"Falsch"),"")</f>
        <v/>
      </c>
      <c r="Y105" s="16" t="str">
        <f>IF(AND(Y$10&gt;=$D105,Y$11&lt;=$E105),VLOOKUP($F105,$K$2:AM$8,Y$1,"Falsch"),"")</f>
        <v/>
      </c>
      <c r="Z105" s="16" t="str">
        <f>IF(AND(Z$10&gt;=$D105,Z$11&lt;=$E105),VLOOKUP($F105,$K$2:AN$8,Z$1,"Falsch"),"")</f>
        <v/>
      </c>
      <c r="AA105" s="16" t="str">
        <f>IF(AND(AA$10&gt;=$D105,AA$11&lt;=$E105),VLOOKUP($F105,$K$2:AO$8,AA$1,"Falsch"),"")</f>
        <v/>
      </c>
      <c r="AB105" s="16" t="str">
        <f>IF(AND(AB$10&gt;=$D105,AB$11&lt;=$E105),VLOOKUP($F105,$K$2:AP$8,AB$1,"Falsch"),"")</f>
        <v/>
      </c>
      <c r="AC105" s="16" t="str">
        <f>IF(AND(AC$10&gt;=$D105,AC$11&lt;=$E105),VLOOKUP($F105,$K$2:AQ$8,AC$1,"Falsch"),"")</f>
        <v/>
      </c>
      <c r="AD105" s="16" t="str">
        <f>IF(AND(AD$10&gt;=$D105,AD$11&lt;=$E105),VLOOKUP($F105,$K$2:AR$8,AD$1,"Falsch"),"")</f>
        <v/>
      </c>
    </row>
    <row r="106" spans="9:30" x14ac:dyDescent="0.25">
      <c r="I106" s="21">
        <f t="shared" si="31"/>
        <v>0</v>
      </c>
      <c r="K106" s="25">
        <f t="shared" si="32"/>
        <v>0</v>
      </c>
      <c r="L106" s="16" t="str">
        <f>IF(AND(L$10&gt;=$D106,L$11&lt;=$E106),VLOOKUP($F106,$K$2:Z$8,L$1,"Falsch"),"")</f>
        <v/>
      </c>
      <c r="M106" s="16" t="str">
        <f>IF(AND(M$10&gt;=$D106,M$11&lt;=$E106),VLOOKUP($F106,$K$2:AA$8,M$1,"Falsch"),"")</f>
        <v/>
      </c>
      <c r="N106" s="16" t="str">
        <f>IF(AND(N$10&gt;=$D106,N$11&lt;=$E106),VLOOKUP($F106,$K$2:AB$8,N$1,"Falsch"),"")</f>
        <v/>
      </c>
      <c r="O106" s="16" t="str">
        <f>IF(AND(O$10&gt;=$D106,O$11&lt;=$E106),VLOOKUP($F106,$K$2:AC$8,O$1,"Falsch"),"")</f>
        <v/>
      </c>
      <c r="P106" s="16" t="str">
        <f>IF(AND(P$10&gt;=$D106,P$11&lt;=$E106),VLOOKUP($F106,$K$2:AD$8,P$1,"Falsch"),"")</f>
        <v/>
      </c>
      <c r="Q106" s="16" t="str">
        <f>IF(AND(Q$10&gt;=$D106,Q$11&lt;=$E106),VLOOKUP($F106,$K$2:AE$8,Q$1,"Falsch"),"")</f>
        <v/>
      </c>
      <c r="R106" s="16" t="str">
        <f>IF(AND(R$10&gt;=$D106,R$11&lt;=$E106),VLOOKUP($F106,$K$2:AF$8,R$1,"Falsch"),"")</f>
        <v/>
      </c>
      <c r="S106" s="16" t="str">
        <f>IF(AND(S$10&gt;=$D106,S$11&lt;=$E106),VLOOKUP($F106,$K$2:AG$8,S$1,"Falsch"),"")</f>
        <v/>
      </c>
      <c r="T106" s="16" t="str">
        <f>IF(AND(T$10&gt;=$D106,T$11&lt;=$E106),VLOOKUP($F106,$K$2:AH$8,T$1,"Falsch"),"")</f>
        <v/>
      </c>
      <c r="U106" s="16" t="str">
        <f>IF(AND(U$10&gt;=$D106,U$11&lt;=$E106),VLOOKUP($F106,$K$2:AI$8,U$1,"Falsch"),"")</f>
        <v/>
      </c>
      <c r="V106" s="16" t="str">
        <f>IF(AND(V$10&gt;=$D106,V$11&lt;=$E106),VLOOKUP($F106,$K$2:AJ$8,V$1,"Falsch"),"")</f>
        <v/>
      </c>
      <c r="W106" s="16" t="str">
        <f>IF(AND(W$10&gt;=$D106,W$11&lt;=$E106),VLOOKUP($F106,$K$2:AK$8,W$1,"Falsch"),"")</f>
        <v/>
      </c>
      <c r="X106" s="16" t="str">
        <f>IF(AND(X$10&gt;=$D106,X$11&lt;=$E106),VLOOKUP($F106,$K$2:AL$8,X$1,"Falsch"),"")</f>
        <v/>
      </c>
      <c r="Y106" s="16" t="str">
        <f>IF(AND(Y$10&gt;=$D106,Y$11&lt;=$E106),VLOOKUP($F106,$K$2:AM$8,Y$1,"Falsch"),"")</f>
        <v/>
      </c>
      <c r="Z106" s="16" t="str">
        <f>IF(AND(Z$10&gt;=$D106,Z$11&lt;=$E106),VLOOKUP($F106,$K$2:AN$8,Z$1,"Falsch"),"")</f>
        <v/>
      </c>
      <c r="AA106" s="16" t="str">
        <f>IF(AND(AA$10&gt;=$D106,AA$11&lt;=$E106),VLOOKUP($F106,$K$2:AO$8,AA$1,"Falsch"),"")</f>
        <v/>
      </c>
      <c r="AB106" s="16" t="str">
        <f>IF(AND(AB$10&gt;=$D106,AB$11&lt;=$E106),VLOOKUP($F106,$K$2:AP$8,AB$1,"Falsch"),"")</f>
        <v/>
      </c>
      <c r="AC106" s="16" t="str">
        <f>IF(AND(AC$10&gt;=$D106,AC$11&lt;=$E106),VLOOKUP($F106,$K$2:AQ$8,AC$1,"Falsch"),"")</f>
        <v/>
      </c>
      <c r="AD106" s="16" t="str">
        <f>IF(AND(AD$10&gt;=$D106,AD$11&lt;=$E106),VLOOKUP($F106,$K$2:AR$8,AD$1,"Falsch"),"")</f>
        <v/>
      </c>
    </row>
    <row r="107" spans="9:30" x14ac:dyDescent="0.25">
      <c r="I107" s="21">
        <f t="shared" si="31"/>
        <v>0</v>
      </c>
      <c r="K107" s="25">
        <f t="shared" si="32"/>
        <v>0</v>
      </c>
      <c r="L107" s="16" t="str">
        <f>IF(AND(L$10&gt;=$D107,L$11&lt;=$E107),VLOOKUP($F107,$K$2:Z$8,L$1,"Falsch"),"")</f>
        <v/>
      </c>
      <c r="M107" s="16" t="str">
        <f>IF(AND(M$10&gt;=$D107,M$11&lt;=$E107),VLOOKUP($F107,$K$2:AA$8,M$1,"Falsch"),"")</f>
        <v/>
      </c>
      <c r="N107" s="16" t="str">
        <f>IF(AND(N$10&gt;=$D107,N$11&lt;=$E107),VLOOKUP($F107,$K$2:AB$8,N$1,"Falsch"),"")</f>
        <v/>
      </c>
      <c r="O107" s="16" t="str">
        <f>IF(AND(O$10&gt;=$D107,O$11&lt;=$E107),VLOOKUP($F107,$K$2:AC$8,O$1,"Falsch"),"")</f>
        <v/>
      </c>
      <c r="P107" s="16" t="str">
        <f>IF(AND(P$10&gt;=$D107,P$11&lt;=$E107),VLOOKUP($F107,$K$2:AD$8,P$1,"Falsch"),"")</f>
        <v/>
      </c>
      <c r="Q107" s="16" t="str">
        <f>IF(AND(Q$10&gt;=$D107,Q$11&lt;=$E107),VLOOKUP($F107,$K$2:AE$8,Q$1,"Falsch"),"")</f>
        <v/>
      </c>
      <c r="R107" s="16" t="str">
        <f>IF(AND(R$10&gt;=$D107,R$11&lt;=$E107),VLOOKUP($F107,$K$2:AF$8,R$1,"Falsch"),"")</f>
        <v/>
      </c>
      <c r="S107" s="16" t="str">
        <f>IF(AND(S$10&gt;=$D107,S$11&lt;=$E107),VLOOKUP($F107,$K$2:AG$8,S$1,"Falsch"),"")</f>
        <v/>
      </c>
      <c r="T107" s="16" t="str">
        <f>IF(AND(T$10&gt;=$D107,T$11&lt;=$E107),VLOOKUP($F107,$K$2:AH$8,T$1,"Falsch"),"")</f>
        <v/>
      </c>
      <c r="U107" s="16" t="str">
        <f>IF(AND(U$10&gt;=$D107,U$11&lt;=$E107),VLOOKUP($F107,$K$2:AI$8,U$1,"Falsch"),"")</f>
        <v/>
      </c>
      <c r="V107" s="16" t="str">
        <f>IF(AND(V$10&gt;=$D107,V$11&lt;=$E107),VLOOKUP($F107,$K$2:AJ$8,V$1,"Falsch"),"")</f>
        <v/>
      </c>
      <c r="W107" s="16" t="str">
        <f>IF(AND(W$10&gt;=$D107,W$11&lt;=$E107),VLOOKUP($F107,$K$2:AK$8,W$1,"Falsch"),"")</f>
        <v/>
      </c>
      <c r="X107" s="16" t="str">
        <f>IF(AND(X$10&gt;=$D107,X$11&lt;=$E107),VLOOKUP($F107,$K$2:AL$8,X$1,"Falsch"),"")</f>
        <v/>
      </c>
      <c r="Y107" s="16" t="str">
        <f>IF(AND(Y$10&gt;=$D107,Y$11&lt;=$E107),VLOOKUP($F107,$K$2:AM$8,Y$1,"Falsch"),"")</f>
        <v/>
      </c>
      <c r="Z107" s="16" t="str">
        <f>IF(AND(Z$10&gt;=$D107,Z$11&lt;=$E107),VLOOKUP($F107,$K$2:AN$8,Z$1,"Falsch"),"")</f>
        <v/>
      </c>
      <c r="AA107" s="16" t="str">
        <f>IF(AND(AA$10&gt;=$D107,AA$11&lt;=$E107),VLOOKUP($F107,$K$2:AO$8,AA$1,"Falsch"),"")</f>
        <v/>
      </c>
      <c r="AB107" s="16" t="str">
        <f>IF(AND(AB$10&gt;=$D107,AB$11&lt;=$E107),VLOOKUP($F107,$K$2:AP$8,AB$1,"Falsch"),"")</f>
        <v/>
      </c>
      <c r="AC107" s="16" t="str">
        <f>IF(AND(AC$10&gt;=$D107,AC$11&lt;=$E107),VLOOKUP($F107,$K$2:AQ$8,AC$1,"Falsch"),"")</f>
        <v/>
      </c>
      <c r="AD107" s="16" t="str">
        <f>IF(AND(AD$10&gt;=$D107,AD$11&lt;=$E107),VLOOKUP($F107,$K$2:AR$8,AD$1,"Falsch"),"")</f>
        <v/>
      </c>
    </row>
    <row r="108" spans="9:30" x14ac:dyDescent="0.25">
      <c r="I108" s="21">
        <f t="shared" si="31"/>
        <v>0</v>
      </c>
      <c r="K108" s="25">
        <f t="shared" si="32"/>
        <v>0</v>
      </c>
      <c r="L108" s="16" t="str">
        <f>IF(AND(L$10&gt;=$D108,L$11&lt;=$E108),VLOOKUP($F108,$K$2:Z$8,L$1,"Falsch"),"")</f>
        <v/>
      </c>
      <c r="M108" s="16" t="str">
        <f>IF(AND(M$10&gt;=$D108,M$11&lt;=$E108),VLOOKUP($F108,$K$2:AA$8,M$1,"Falsch"),"")</f>
        <v/>
      </c>
      <c r="N108" s="16" t="str">
        <f>IF(AND(N$10&gt;=$D108,N$11&lt;=$E108),VLOOKUP($F108,$K$2:AB$8,N$1,"Falsch"),"")</f>
        <v/>
      </c>
      <c r="O108" s="16" t="str">
        <f>IF(AND(O$10&gt;=$D108,O$11&lt;=$E108),VLOOKUP($F108,$K$2:AC$8,O$1,"Falsch"),"")</f>
        <v/>
      </c>
      <c r="P108" s="16" t="str">
        <f>IF(AND(P$10&gt;=$D108,P$11&lt;=$E108),VLOOKUP($F108,$K$2:AD$8,P$1,"Falsch"),"")</f>
        <v/>
      </c>
      <c r="Q108" s="16" t="str">
        <f>IF(AND(Q$10&gt;=$D108,Q$11&lt;=$E108),VLOOKUP($F108,$K$2:AE$8,Q$1,"Falsch"),"")</f>
        <v/>
      </c>
      <c r="R108" s="16" t="str">
        <f>IF(AND(R$10&gt;=$D108,R$11&lt;=$E108),VLOOKUP($F108,$K$2:AF$8,R$1,"Falsch"),"")</f>
        <v/>
      </c>
      <c r="S108" s="16" t="str">
        <f>IF(AND(S$10&gt;=$D108,S$11&lt;=$E108),VLOOKUP($F108,$K$2:AG$8,S$1,"Falsch"),"")</f>
        <v/>
      </c>
      <c r="T108" s="16" t="str">
        <f>IF(AND(T$10&gt;=$D108,T$11&lt;=$E108),VLOOKUP($F108,$K$2:AH$8,T$1,"Falsch"),"")</f>
        <v/>
      </c>
      <c r="U108" s="16" t="str">
        <f>IF(AND(U$10&gt;=$D108,U$11&lt;=$E108),VLOOKUP($F108,$K$2:AI$8,U$1,"Falsch"),"")</f>
        <v/>
      </c>
      <c r="V108" s="16" t="str">
        <f>IF(AND(V$10&gt;=$D108,V$11&lt;=$E108),VLOOKUP($F108,$K$2:AJ$8,V$1,"Falsch"),"")</f>
        <v/>
      </c>
      <c r="W108" s="16" t="str">
        <f>IF(AND(W$10&gt;=$D108,W$11&lt;=$E108),VLOOKUP($F108,$K$2:AK$8,W$1,"Falsch"),"")</f>
        <v/>
      </c>
      <c r="X108" s="16" t="str">
        <f>IF(AND(X$10&gt;=$D108,X$11&lt;=$E108),VLOOKUP($F108,$K$2:AL$8,X$1,"Falsch"),"")</f>
        <v/>
      </c>
      <c r="Y108" s="16" t="str">
        <f>IF(AND(Y$10&gt;=$D108,Y$11&lt;=$E108),VLOOKUP($F108,$K$2:AM$8,Y$1,"Falsch"),"")</f>
        <v/>
      </c>
      <c r="Z108" s="16" t="str">
        <f>IF(AND(Z$10&gt;=$D108,Z$11&lt;=$E108),VLOOKUP($F108,$K$2:AN$8,Z$1,"Falsch"),"")</f>
        <v/>
      </c>
      <c r="AA108" s="16" t="str">
        <f>IF(AND(AA$10&gt;=$D108,AA$11&lt;=$E108),VLOOKUP($F108,$K$2:AO$8,AA$1,"Falsch"),"")</f>
        <v/>
      </c>
      <c r="AB108" s="16" t="str">
        <f>IF(AND(AB$10&gt;=$D108,AB$11&lt;=$E108),VLOOKUP($F108,$K$2:AP$8,AB$1,"Falsch"),"")</f>
        <v/>
      </c>
      <c r="AC108" s="16" t="str">
        <f>IF(AND(AC$10&gt;=$D108,AC$11&lt;=$E108),VLOOKUP($F108,$K$2:AQ$8,AC$1,"Falsch"),"")</f>
        <v/>
      </c>
      <c r="AD108" s="16" t="str">
        <f>IF(AND(AD$10&gt;=$D108,AD$11&lt;=$E108),VLOOKUP($F108,$K$2:AR$8,AD$1,"Falsch"),"")</f>
        <v/>
      </c>
    </row>
    <row r="109" spans="9:30" x14ac:dyDescent="0.25">
      <c r="I109" s="21">
        <f t="shared" si="31"/>
        <v>0</v>
      </c>
      <c r="K109" s="25">
        <f t="shared" si="32"/>
        <v>0</v>
      </c>
      <c r="L109" s="16" t="str">
        <f>IF(AND(L$10&gt;=$D109,L$11&lt;=$E109),VLOOKUP($F109,$K$2:Z$8,L$1,"Falsch"),"")</f>
        <v/>
      </c>
      <c r="M109" s="16" t="str">
        <f>IF(AND(M$10&gt;=$D109,M$11&lt;=$E109),VLOOKUP($F109,$K$2:AA$8,M$1,"Falsch"),"")</f>
        <v/>
      </c>
      <c r="N109" s="16" t="str">
        <f>IF(AND(N$10&gt;=$D109,N$11&lt;=$E109),VLOOKUP($F109,$K$2:AB$8,N$1,"Falsch"),"")</f>
        <v/>
      </c>
      <c r="O109" s="16" t="str">
        <f>IF(AND(O$10&gt;=$D109,O$11&lt;=$E109),VLOOKUP($F109,$K$2:AC$8,O$1,"Falsch"),"")</f>
        <v/>
      </c>
      <c r="P109" s="16" t="str">
        <f>IF(AND(P$10&gt;=$D109,P$11&lt;=$E109),VLOOKUP($F109,$K$2:AD$8,P$1,"Falsch"),"")</f>
        <v/>
      </c>
      <c r="Q109" s="16" t="str">
        <f>IF(AND(Q$10&gt;=$D109,Q$11&lt;=$E109),VLOOKUP($F109,$K$2:AE$8,Q$1,"Falsch"),"")</f>
        <v/>
      </c>
      <c r="R109" s="16" t="str">
        <f>IF(AND(R$10&gt;=$D109,R$11&lt;=$E109),VLOOKUP($F109,$K$2:AF$8,R$1,"Falsch"),"")</f>
        <v/>
      </c>
      <c r="S109" s="16" t="str">
        <f>IF(AND(S$10&gt;=$D109,S$11&lt;=$E109),VLOOKUP($F109,$K$2:AG$8,S$1,"Falsch"),"")</f>
        <v/>
      </c>
      <c r="T109" s="16" t="str">
        <f>IF(AND(T$10&gt;=$D109,T$11&lt;=$E109),VLOOKUP($F109,$K$2:AH$8,T$1,"Falsch"),"")</f>
        <v/>
      </c>
      <c r="U109" s="16" t="str">
        <f>IF(AND(U$10&gt;=$D109,U$11&lt;=$E109),VLOOKUP($F109,$K$2:AI$8,U$1,"Falsch"),"")</f>
        <v/>
      </c>
      <c r="V109" s="16" t="str">
        <f>IF(AND(V$10&gt;=$D109,V$11&lt;=$E109),VLOOKUP($F109,$K$2:AJ$8,V$1,"Falsch"),"")</f>
        <v/>
      </c>
      <c r="W109" s="16" t="str">
        <f>IF(AND(W$10&gt;=$D109,W$11&lt;=$E109),VLOOKUP($F109,$K$2:AK$8,W$1,"Falsch"),"")</f>
        <v/>
      </c>
      <c r="X109" s="16" t="str">
        <f>IF(AND(X$10&gt;=$D109,X$11&lt;=$E109),VLOOKUP($F109,$K$2:AL$8,X$1,"Falsch"),"")</f>
        <v/>
      </c>
      <c r="Y109" s="16" t="str">
        <f>IF(AND(Y$10&gt;=$D109,Y$11&lt;=$E109),VLOOKUP($F109,$K$2:AM$8,Y$1,"Falsch"),"")</f>
        <v/>
      </c>
      <c r="Z109" s="16" t="str">
        <f>IF(AND(Z$10&gt;=$D109,Z$11&lt;=$E109),VLOOKUP($F109,$K$2:AN$8,Z$1,"Falsch"),"")</f>
        <v/>
      </c>
      <c r="AA109" s="16" t="str">
        <f>IF(AND(AA$10&gt;=$D109,AA$11&lt;=$E109),VLOOKUP($F109,$K$2:AO$8,AA$1,"Falsch"),"")</f>
        <v/>
      </c>
      <c r="AB109" s="16" t="str">
        <f>IF(AND(AB$10&gt;=$D109,AB$11&lt;=$E109),VLOOKUP($F109,$K$2:AP$8,AB$1,"Falsch"),"")</f>
        <v/>
      </c>
      <c r="AC109" s="16" t="str">
        <f>IF(AND(AC$10&gt;=$D109,AC$11&lt;=$E109),VLOOKUP($F109,$K$2:AQ$8,AC$1,"Falsch"),"")</f>
        <v/>
      </c>
      <c r="AD109" s="16" t="str">
        <f>IF(AND(AD$10&gt;=$D109,AD$11&lt;=$E109),VLOOKUP($F109,$K$2:AR$8,AD$1,"Falsch"),"")</f>
        <v/>
      </c>
    </row>
    <row r="110" spans="9:30" x14ac:dyDescent="0.25">
      <c r="I110" s="21">
        <f t="shared" si="31"/>
        <v>0</v>
      </c>
      <c r="K110" s="25">
        <f t="shared" si="32"/>
        <v>0</v>
      </c>
      <c r="L110" s="16" t="str">
        <f>IF(AND(L$10&gt;=$D110,L$11&lt;=$E110),VLOOKUP($F110,$K$2:Z$8,L$1,"Falsch"),"")</f>
        <v/>
      </c>
      <c r="M110" s="16" t="str">
        <f>IF(AND(M$10&gt;=$D110,M$11&lt;=$E110),VLOOKUP($F110,$K$2:AA$8,M$1,"Falsch"),"")</f>
        <v/>
      </c>
      <c r="N110" s="16" t="str">
        <f>IF(AND(N$10&gt;=$D110,N$11&lt;=$E110),VLOOKUP($F110,$K$2:AB$8,N$1,"Falsch"),"")</f>
        <v/>
      </c>
      <c r="O110" s="16" t="str">
        <f>IF(AND(O$10&gt;=$D110,O$11&lt;=$E110),VLOOKUP($F110,$K$2:AC$8,O$1,"Falsch"),"")</f>
        <v/>
      </c>
      <c r="P110" s="16" t="str">
        <f>IF(AND(P$10&gt;=$D110,P$11&lt;=$E110),VLOOKUP($F110,$K$2:AD$8,P$1,"Falsch"),"")</f>
        <v/>
      </c>
      <c r="Q110" s="16" t="str">
        <f>IF(AND(Q$10&gt;=$D110,Q$11&lt;=$E110),VLOOKUP($F110,$K$2:AE$8,Q$1,"Falsch"),"")</f>
        <v/>
      </c>
      <c r="R110" s="16" t="str">
        <f>IF(AND(R$10&gt;=$D110,R$11&lt;=$E110),VLOOKUP($F110,$K$2:AF$8,R$1,"Falsch"),"")</f>
        <v/>
      </c>
      <c r="S110" s="16" t="str">
        <f>IF(AND(S$10&gt;=$D110,S$11&lt;=$E110),VLOOKUP($F110,$K$2:AG$8,S$1,"Falsch"),"")</f>
        <v/>
      </c>
      <c r="T110" s="16" t="str">
        <f>IF(AND(T$10&gt;=$D110,T$11&lt;=$E110),VLOOKUP($F110,$K$2:AH$8,T$1,"Falsch"),"")</f>
        <v/>
      </c>
      <c r="U110" s="16" t="str">
        <f>IF(AND(U$10&gt;=$D110,U$11&lt;=$E110),VLOOKUP($F110,$K$2:AI$8,U$1,"Falsch"),"")</f>
        <v/>
      </c>
      <c r="V110" s="16" t="str">
        <f>IF(AND(V$10&gt;=$D110,V$11&lt;=$E110),VLOOKUP($F110,$K$2:AJ$8,V$1,"Falsch"),"")</f>
        <v/>
      </c>
      <c r="W110" s="16" t="str">
        <f>IF(AND(W$10&gt;=$D110,W$11&lt;=$E110),VLOOKUP($F110,$K$2:AK$8,W$1,"Falsch"),"")</f>
        <v/>
      </c>
      <c r="X110" s="16" t="str">
        <f>IF(AND(X$10&gt;=$D110,X$11&lt;=$E110),VLOOKUP($F110,$K$2:AL$8,X$1,"Falsch"),"")</f>
        <v/>
      </c>
      <c r="Y110" s="16" t="str">
        <f>IF(AND(Y$10&gt;=$D110,Y$11&lt;=$E110),VLOOKUP($F110,$K$2:AM$8,Y$1,"Falsch"),"")</f>
        <v/>
      </c>
      <c r="Z110" s="16" t="str">
        <f>IF(AND(Z$10&gt;=$D110,Z$11&lt;=$E110),VLOOKUP($F110,$K$2:AN$8,Z$1,"Falsch"),"")</f>
        <v/>
      </c>
      <c r="AA110" s="16" t="str">
        <f>IF(AND(AA$10&gt;=$D110,AA$11&lt;=$E110),VLOOKUP($F110,$K$2:AO$8,AA$1,"Falsch"),"")</f>
        <v/>
      </c>
      <c r="AB110" s="16" t="str">
        <f>IF(AND(AB$10&gt;=$D110,AB$11&lt;=$E110),VLOOKUP($F110,$K$2:AP$8,AB$1,"Falsch"),"")</f>
        <v/>
      </c>
      <c r="AC110" s="16" t="str">
        <f>IF(AND(AC$10&gt;=$D110,AC$11&lt;=$E110),VLOOKUP($F110,$K$2:AQ$8,AC$1,"Falsch"),"")</f>
        <v/>
      </c>
      <c r="AD110" s="16" t="str">
        <f>IF(AND(AD$10&gt;=$D110,AD$11&lt;=$E110),VLOOKUP($F110,$K$2:AR$8,AD$1,"Falsch"),"")</f>
        <v/>
      </c>
    </row>
    <row r="111" spans="9:30" x14ac:dyDescent="0.25">
      <c r="I111" s="21">
        <f t="shared" si="31"/>
        <v>0</v>
      </c>
      <c r="K111" s="25">
        <f t="shared" si="32"/>
        <v>0</v>
      </c>
      <c r="L111" s="16" t="str">
        <f>IF(AND(L$10&gt;=$D111,L$11&lt;=$E111),VLOOKUP($F111,$K$2:Z$8,L$1,"Falsch"),"")</f>
        <v/>
      </c>
      <c r="M111" s="16" t="str">
        <f>IF(AND(M$10&gt;=$D111,M$11&lt;=$E111),VLOOKUP($F111,$K$2:AA$8,M$1,"Falsch"),"")</f>
        <v/>
      </c>
      <c r="N111" s="16" t="str">
        <f>IF(AND(N$10&gt;=$D111,N$11&lt;=$E111),VLOOKUP($F111,$K$2:AB$8,N$1,"Falsch"),"")</f>
        <v/>
      </c>
      <c r="O111" s="16" t="str">
        <f>IF(AND(O$10&gt;=$D111,O$11&lt;=$E111),VLOOKUP($F111,$K$2:AC$8,O$1,"Falsch"),"")</f>
        <v/>
      </c>
      <c r="P111" s="16" t="str">
        <f>IF(AND(P$10&gt;=$D111,P$11&lt;=$E111),VLOOKUP($F111,$K$2:AD$8,P$1,"Falsch"),"")</f>
        <v/>
      </c>
      <c r="Q111" s="16" t="str">
        <f>IF(AND(Q$10&gt;=$D111,Q$11&lt;=$E111),VLOOKUP($F111,$K$2:AE$8,Q$1,"Falsch"),"")</f>
        <v/>
      </c>
      <c r="R111" s="16" t="str">
        <f>IF(AND(R$10&gt;=$D111,R$11&lt;=$E111),VLOOKUP($F111,$K$2:AF$8,R$1,"Falsch"),"")</f>
        <v/>
      </c>
      <c r="S111" s="16" t="str">
        <f>IF(AND(S$10&gt;=$D111,S$11&lt;=$E111),VLOOKUP($F111,$K$2:AG$8,S$1,"Falsch"),"")</f>
        <v/>
      </c>
      <c r="T111" s="16" t="str">
        <f>IF(AND(T$10&gt;=$D111,T$11&lt;=$E111),VLOOKUP($F111,$K$2:AH$8,T$1,"Falsch"),"")</f>
        <v/>
      </c>
      <c r="U111" s="16" t="str">
        <f>IF(AND(U$10&gt;=$D111,U$11&lt;=$E111),VLOOKUP($F111,$K$2:AI$8,U$1,"Falsch"),"")</f>
        <v/>
      </c>
      <c r="V111" s="16" t="str">
        <f>IF(AND(V$10&gt;=$D111,V$11&lt;=$E111),VLOOKUP($F111,$K$2:AJ$8,V$1,"Falsch"),"")</f>
        <v/>
      </c>
      <c r="W111" s="16" t="str">
        <f>IF(AND(W$10&gt;=$D111,W$11&lt;=$E111),VLOOKUP($F111,$K$2:AK$8,W$1,"Falsch"),"")</f>
        <v/>
      </c>
      <c r="X111" s="16" t="str">
        <f>IF(AND(X$10&gt;=$D111,X$11&lt;=$E111),VLOOKUP($F111,$K$2:AL$8,X$1,"Falsch"),"")</f>
        <v/>
      </c>
      <c r="Y111" s="16" t="str">
        <f>IF(AND(Y$10&gt;=$D111,Y$11&lt;=$E111),VLOOKUP($F111,$K$2:AM$8,Y$1,"Falsch"),"")</f>
        <v/>
      </c>
      <c r="Z111" s="16" t="str">
        <f>IF(AND(Z$10&gt;=$D111,Z$11&lt;=$E111),VLOOKUP($F111,$K$2:AN$8,Z$1,"Falsch"),"")</f>
        <v/>
      </c>
      <c r="AA111" s="16" t="str">
        <f>IF(AND(AA$10&gt;=$D111,AA$11&lt;=$E111),VLOOKUP($F111,$K$2:AO$8,AA$1,"Falsch"),"")</f>
        <v/>
      </c>
      <c r="AB111" s="16" t="str">
        <f>IF(AND(AB$10&gt;=$D111,AB$11&lt;=$E111),VLOOKUP($F111,$K$2:AP$8,AB$1,"Falsch"),"")</f>
        <v/>
      </c>
      <c r="AC111" s="16" t="str">
        <f>IF(AND(AC$10&gt;=$D111,AC$11&lt;=$E111),VLOOKUP($F111,$K$2:AQ$8,AC$1,"Falsch"),"")</f>
        <v/>
      </c>
      <c r="AD111" s="16" t="str">
        <f>IF(AND(AD$10&gt;=$D111,AD$11&lt;=$E111),VLOOKUP($F111,$K$2:AR$8,AD$1,"Falsch"),"")</f>
        <v/>
      </c>
    </row>
    <row r="112" spans="9:30" x14ac:dyDescent="0.25">
      <c r="I112" s="21">
        <f t="shared" si="31"/>
        <v>0</v>
      </c>
      <c r="K112" s="25">
        <f t="shared" si="32"/>
        <v>0</v>
      </c>
      <c r="L112" s="16" t="str">
        <f>IF(AND(L$10&gt;=$D112,L$11&lt;=$E112),VLOOKUP($F112,$K$2:Z$8,L$1,"Falsch"),"")</f>
        <v/>
      </c>
      <c r="M112" s="16" t="str">
        <f>IF(AND(M$10&gt;=$D112,M$11&lt;=$E112),VLOOKUP($F112,$K$2:AA$8,M$1,"Falsch"),"")</f>
        <v/>
      </c>
      <c r="N112" s="16" t="str">
        <f>IF(AND(N$10&gt;=$D112,N$11&lt;=$E112),VLOOKUP($F112,$K$2:AB$8,N$1,"Falsch"),"")</f>
        <v/>
      </c>
      <c r="O112" s="16" t="str">
        <f>IF(AND(O$10&gt;=$D112,O$11&lt;=$E112),VLOOKUP($F112,$K$2:AC$8,O$1,"Falsch"),"")</f>
        <v/>
      </c>
      <c r="P112" s="16" t="str">
        <f>IF(AND(P$10&gt;=$D112,P$11&lt;=$E112),VLOOKUP($F112,$K$2:AD$8,P$1,"Falsch"),"")</f>
        <v/>
      </c>
      <c r="Q112" s="16" t="str">
        <f>IF(AND(Q$10&gt;=$D112,Q$11&lt;=$E112),VLOOKUP($F112,$K$2:AE$8,Q$1,"Falsch"),"")</f>
        <v/>
      </c>
      <c r="R112" s="16" t="str">
        <f>IF(AND(R$10&gt;=$D112,R$11&lt;=$E112),VLOOKUP($F112,$K$2:AF$8,R$1,"Falsch"),"")</f>
        <v/>
      </c>
      <c r="S112" s="16" t="str">
        <f>IF(AND(S$10&gt;=$D112,S$11&lt;=$E112),VLOOKUP($F112,$K$2:AG$8,S$1,"Falsch"),"")</f>
        <v/>
      </c>
      <c r="T112" s="16" t="str">
        <f>IF(AND(T$10&gt;=$D112,T$11&lt;=$E112),VLOOKUP($F112,$K$2:AH$8,T$1,"Falsch"),"")</f>
        <v/>
      </c>
      <c r="U112" s="16" t="str">
        <f>IF(AND(U$10&gt;=$D112,U$11&lt;=$E112),VLOOKUP($F112,$K$2:AI$8,U$1,"Falsch"),"")</f>
        <v/>
      </c>
      <c r="V112" s="16" t="str">
        <f>IF(AND(V$10&gt;=$D112,V$11&lt;=$E112),VLOOKUP($F112,$K$2:AJ$8,V$1,"Falsch"),"")</f>
        <v/>
      </c>
      <c r="W112" s="16" t="str">
        <f>IF(AND(W$10&gt;=$D112,W$11&lt;=$E112),VLOOKUP($F112,$K$2:AK$8,W$1,"Falsch"),"")</f>
        <v/>
      </c>
      <c r="X112" s="16" t="str">
        <f>IF(AND(X$10&gt;=$D112,X$11&lt;=$E112),VLOOKUP($F112,$K$2:AL$8,X$1,"Falsch"),"")</f>
        <v/>
      </c>
      <c r="Y112" s="16" t="str">
        <f>IF(AND(Y$10&gt;=$D112,Y$11&lt;=$E112),VLOOKUP($F112,$K$2:AM$8,Y$1,"Falsch"),"")</f>
        <v/>
      </c>
      <c r="Z112" s="16" t="str">
        <f>IF(AND(Z$10&gt;=$D112,Z$11&lt;=$E112),VLOOKUP($F112,$K$2:AN$8,Z$1,"Falsch"),"")</f>
        <v/>
      </c>
      <c r="AA112" s="16" t="str">
        <f>IF(AND(AA$10&gt;=$D112,AA$11&lt;=$E112),VLOOKUP($F112,$K$2:AO$8,AA$1,"Falsch"),"")</f>
        <v/>
      </c>
      <c r="AB112" s="16" t="str">
        <f>IF(AND(AB$10&gt;=$D112,AB$11&lt;=$E112),VLOOKUP($F112,$K$2:AP$8,AB$1,"Falsch"),"")</f>
        <v/>
      </c>
      <c r="AC112" s="16" t="str">
        <f>IF(AND(AC$10&gt;=$D112,AC$11&lt;=$E112),VLOOKUP($F112,$K$2:AQ$8,AC$1,"Falsch"),"")</f>
        <v/>
      </c>
      <c r="AD112" s="16" t="str">
        <f>IF(AND(AD$10&gt;=$D112,AD$11&lt;=$E112),VLOOKUP($F112,$K$2:AR$8,AD$1,"Falsch"),"")</f>
        <v/>
      </c>
    </row>
    <row r="113" spans="9:30" x14ac:dyDescent="0.25">
      <c r="I113" s="21">
        <f t="shared" si="31"/>
        <v>0</v>
      </c>
      <c r="K113" s="25">
        <f t="shared" si="32"/>
        <v>0</v>
      </c>
      <c r="L113" s="16" t="str">
        <f>IF(AND(L$10&gt;=$D113,L$11&lt;=$E113),VLOOKUP($F113,$K$2:Z$8,L$1,"Falsch"),"")</f>
        <v/>
      </c>
      <c r="M113" s="16" t="str">
        <f>IF(AND(M$10&gt;=$D113,M$11&lt;=$E113),VLOOKUP($F113,$K$2:AA$8,M$1,"Falsch"),"")</f>
        <v/>
      </c>
      <c r="N113" s="16" t="str">
        <f>IF(AND(N$10&gt;=$D113,N$11&lt;=$E113),VLOOKUP($F113,$K$2:AB$8,N$1,"Falsch"),"")</f>
        <v/>
      </c>
      <c r="O113" s="16" t="str">
        <f>IF(AND(O$10&gt;=$D113,O$11&lt;=$E113),VLOOKUP($F113,$K$2:AC$8,O$1,"Falsch"),"")</f>
        <v/>
      </c>
      <c r="P113" s="16" t="str">
        <f>IF(AND(P$10&gt;=$D113,P$11&lt;=$E113),VLOOKUP($F113,$K$2:AD$8,P$1,"Falsch"),"")</f>
        <v/>
      </c>
      <c r="Q113" s="16" t="str">
        <f>IF(AND(Q$10&gt;=$D113,Q$11&lt;=$E113),VLOOKUP($F113,$K$2:AE$8,Q$1,"Falsch"),"")</f>
        <v/>
      </c>
      <c r="R113" s="16" t="str">
        <f>IF(AND(R$10&gt;=$D113,R$11&lt;=$E113),VLOOKUP($F113,$K$2:AF$8,R$1,"Falsch"),"")</f>
        <v/>
      </c>
      <c r="S113" s="16" t="str">
        <f>IF(AND(S$10&gt;=$D113,S$11&lt;=$E113),VLOOKUP($F113,$K$2:AG$8,S$1,"Falsch"),"")</f>
        <v/>
      </c>
      <c r="T113" s="16" t="str">
        <f>IF(AND(T$10&gt;=$D113,T$11&lt;=$E113),VLOOKUP($F113,$K$2:AH$8,T$1,"Falsch"),"")</f>
        <v/>
      </c>
      <c r="U113" s="16" t="str">
        <f>IF(AND(U$10&gt;=$D113,U$11&lt;=$E113),VLOOKUP($F113,$K$2:AI$8,U$1,"Falsch"),"")</f>
        <v/>
      </c>
      <c r="V113" s="16" t="str">
        <f>IF(AND(V$10&gt;=$D113,V$11&lt;=$E113),VLOOKUP($F113,$K$2:AJ$8,V$1,"Falsch"),"")</f>
        <v/>
      </c>
      <c r="W113" s="16" t="str">
        <f>IF(AND(W$10&gt;=$D113,W$11&lt;=$E113),VLOOKUP($F113,$K$2:AK$8,W$1,"Falsch"),"")</f>
        <v/>
      </c>
      <c r="X113" s="16" t="str">
        <f>IF(AND(X$10&gt;=$D113,X$11&lt;=$E113),VLOOKUP($F113,$K$2:AL$8,X$1,"Falsch"),"")</f>
        <v/>
      </c>
      <c r="Y113" s="16" t="str">
        <f>IF(AND(Y$10&gt;=$D113,Y$11&lt;=$E113),VLOOKUP($F113,$K$2:AM$8,Y$1,"Falsch"),"")</f>
        <v/>
      </c>
      <c r="Z113" s="16" t="str">
        <f>IF(AND(Z$10&gt;=$D113,Z$11&lt;=$E113),VLOOKUP($F113,$K$2:AN$8,Z$1,"Falsch"),"")</f>
        <v/>
      </c>
      <c r="AA113" s="16" t="str">
        <f>IF(AND(AA$10&gt;=$D113,AA$11&lt;=$E113),VLOOKUP($F113,$K$2:AO$8,AA$1,"Falsch"),"")</f>
        <v/>
      </c>
      <c r="AB113" s="16" t="str">
        <f>IF(AND(AB$10&gt;=$D113,AB$11&lt;=$E113),VLOOKUP($F113,$K$2:AP$8,AB$1,"Falsch"),"")</f>
        <v/>
      </c>
      <c r="AC113" s="16" t="str">
        <f>IF(AND(AC$10&gt;=$D113,AC$11&lt;=$E113),VLOOKUP($F113,$K$2:AQ$8,AC$1,"Falsch"),"")</f>
        <v/>
      </c>
      <c r="AD113" s="16" t="str">
        <f>IF(AND(AD$10&gt;=$D113,AD$11&lt;=$E113),VLOOKUP($F113,$K$2:AR$8,AD$1,"Falsch"),"")</f>
        <v/>
      </c>
    </row>
    <row r="114" spans="9:30" x14ac:dyDescent="0.25">
      <c r="I114" s="21">
        <f t="shared" si="31"/>
        <v>0</v>
      </c>
      <c r="K114" s="25">
        <f t="shared" si="32"/>
        <v>0</v>
      </c>
      <c r="L114" s="16" t="str">
        <f>IF(AND(L$10&gt;=$D114,L$11&lt;=$E114),VLOOKUP($F114,$K$2:Z$8,L$1,"Falsch"),"")</f>
        <v/>
      </c>
      <c r="M114" s="16" t="str">
        <f>IF(AND(M$10&gt;=$D114,M$11&lt;=$E114),VLOOKUP($F114,$K$2:AA$8,M$1,"Falsch"),"")</f>
        <v/>
      </c>
      <c r="N114" s="16" t="str">
        <f>IF(AND(N$10&gt;=$D114,N$11&lt;=$E114),VLOOKUP($F114,$K$2:AB$8,N$1,"Falsch"),"")</f>
        <v/>
      </c>
      <c r="O114" s="16" t="str">
        <f>IF(AND(O$10&gt;=$D114,O$11&lt;=$E114),VLOOKUP($F114,$K$2:AC$8,O$1,"Falsch"),"")</f>
        <v/>
      </c>
      <c r="P114" s="16" t="str">
        <f>IF(AND(P$10&gt;=$D114,P$11&lt;=$E114),VLOOKUP($F114,$K$2:AD$8,P$1,"Falsch"),"")</f>
        <v/>
      </c>
      <c r="Q114" s="16" t="str">
        <f>IF(AND(Q$10&gt;=$D114,Q$11&lt;=$E114),VLOOKUP($F114,$K$2:AE$8,Q$1,"Falsch"),"")</f>
        <v/>
      </c>
      <c r="R114" s="16" t="str">
        <f>IF(AND(R$10&gt;=$D114,R$11&lt;=$E114),VLOOKUP($F114,$K$2:AF$8,R$1,"Falsch"),"")</f>
        <v/>
      </c>
      <c r="S114" s="16" t="str">
        <f>IF(AND(S$10&gt;=$D114,S$11&lt;=$E114),VLOOKUP($F114,$K$2:AG$8,S$1,"Falsch"),"")</f>
        <v/>
      </c>
      <c r="T114" s="16" t="str">
        <f>IF(AND(T$10&gt;=$D114,T$11&lt;=$E114),VLOOKUP($F114,$K$2:AH$8,T$1,"Falsch"),"")</f>
        <v/>
      </c>
      <c r="U114" s="16" t="str">
        <f>IF(AND(U$10&gt;=$D114,U$11&lt;=$E114),VLOOKUP($F114,$K$2:AI$8,U$1,"Falsch"),"")</f>
        <v/>
      </c>
      <c r="V114" s="16" t="str">
        <f>IF(AND(V$10&gt;=$D114,V$11&lt;=$E114),VLOOKUP($F114,$K$2:AJ$8,V$1,"Falsch"),"")</f>
        <v/>
      </c>
      <c r="W114" s="16" t="str">
        <f>IF(AND(W$10&gt;=$D114,W$11&lt;=$E114),VLOOKUP($F114,$K$2:AK$8,W$1,"Falsch"),"")</f>
        <v/>
      </c>
      <c r="X114" s="16" t="str">
        <f>IF(AND(X$10&gt;=$D114,X$11&lt;=$E114),VLOOKUP($F114,$K$2:AL$8,X$1,"Falsch"),"")</f>
        <v/>
      </c>
      <c r="Y114" s="16" t="str">
        <f>IF(AND(Y$10&gt;=$D114,Y$11&lt;=$E114),VLOOKUP($F114,$K$2:AM$8,Y$1,"Falsch"),"")</f>
        <v/>
      </c>
      <c r="Z114" s="16" t="str">
        <f>IF(AND(Z$10&gt;=$D114,Z$11&lt;=$E114),VLOOKUP($F114,$K$2:AN$8,Z$1,"Falsch"),"")</f>
        <v/>
      </c>
      <c r="AA114" s="16" t="str">
        <f>IF(AND(AA$10&gt;=$D114,AA$11&lt;=$E114),VLOOKUP($F114,$K$2:AO$8,AA$1,"Falsch"),"")</f>
        <v/>
      </c>
      <c r="AB114" s="16" t="str">
        <f>IF(AND(AB$10&gt;=$D114,AB$11&lt;=$E114),VLOOKUP($F114,$K$2:AP$8,AB$1,"Falsch"),"")</f>
        <v/>
      </c>
      <c r="AC114" s="16" t="str">
        <f>IF(AND(AC$10&gt;=$D114,AC$11&lt;=$E114),VLOOKUP($F114,$K$2:AQ$8,AC$1,"Falsch"),"")</f>
        <v/>
      </c>
      <c r="AD114" s="16" t="str">
        <f>IF(AND(AD$10&gt;=$D114,AD$11&lt;=$E114),VLOOKUP($F114,$K$2:AR$8,AD$1,"Falsch"),"")</f>
        <v/>
      </c>
    </row>
    <row r="115" spans="9:30" x14ac:dyDescent="0.25">
      <c r="I115" s="21">
        <f t="shared" si="31"/>
        <v>0</v>
      </c>
      <c r="K115" s="25">
        <f t="shared" si="32"/>
        <v>0</v>
      </c>
      <c r="L115" s="16" t="str">
        <f>IF(AND(L$10&gt;=$D115,L$11&lt;=$E115),VLOOKUP($F115,$K$2:Z$8,L$1,"Falsch"),"")</f>
        <v/>
      </c>
      <c r="M115" s="16" t="str">
        <f>IF(AND(M$10&gt;=$D115,M$11&lt;=$E115),VLOOKUP($F115,$K$2:AA$8,M$1,"Falsch"),"")</f>
        <v/>
      </c>
      <c r="N115" s="16" t="str">
        <f>IF(AND(N$10&gt;=$D115,N$11&lt;=$E115),VLOOKUP($F115,$K$2:AB$8,N$1,"Falsch"),"")</f>
        <v/>
      </c>
      <c r="O115" s="16" t="str">
        <f>IF(AND(O$10&gt;=$D115,O$11&lt;=$E115),VLOOKUP($F115,$K$2:AC$8,O$1,"Falsch"),"")</f>
        <v/>
      </c>
      <c r="P115" s="16" t="str">
        <f>IF(AND(P$10&gt;=$D115,P$11&lt;=$E115),VLOOKUP($F115,$K$2:AD$8,P$1,"Falsch"),"")</f>
        <v/>
      </c>
      <c r="Q115" s="16" t="str">
        <f>IF(AND(Q$10&gt;=$D115,Q$11&lt;=$E115),VLOOKUP($F115,$K$2:AE$8,Q$1,"Falsch"),"")</f>
        <v/>
      </c>
      <c r="R115" s="16" t="str">
        <f>IF(AND(R$10&gt;=$D115,R$11&lt;=$E115),VLOOKUP($F115,$K$2:AF$8,R$1,"Falsch"),"")</f>
        <v/>
      </c>
      <c r="S115" s="16" t="str">
        <f>IF(AND(S$10&gt;=$D115,S$11&lt;=$E115),VLOOKUP($F115,$K$2:AG$8,S$1,"Falsch"),"")</f>
        <v/>
      </c>
      <c r="T115" s="16" t="str">
        <f>IF(AND(T$10&gt;=$D115,T$11&lt;=$E115),VLOOKUP($F115,$K$2:AH$8,T$1,"Falsch"),"")</f>
        <v/>
      </c>
      <c r="U115" s="16" t="str">
        <f>IF(AND(U$10&gt;=$D115,U$11&lt;=$E115),VLOOKUP($F115,$K$2:AI$8,U$1,"Falsch"),"")</f>
        <v/>
      </c>
      <c r="V115" s="16" t="str">
        <f>IF(AND(V$10&gt;=$D115,V$11&lt;=$E115),VLOOKUP($F115,$K$2:AJ$8,V$1,"Falsch"),"")</f>
        <v/>
      </c>
      <c r="W115" s="16" t="str">
        <f>IF(AND(W$10&gt;=$D115,W$11&lt;=$E115),VLOOKUP($F115,$K$2:AK$8,W$1,"Falsch"),"")</f>
        <v/>
      </c>
      <c r="X115" s="16" t="str">
        <f>IF(AND(X$10&gt;=$D115,X$11&lt;=$E115),VLOOKUP($F115,$K$2:AL$8,X$1,"Falsch"),"")</f>
        <v/>
      </c>
      <c r="Y115" s="16" t="str">
        <f>IF(AND(Y$10&gt;=$D115,Y$11&lt;=$E115),VLOOKUP($F115,$K$2:AM$8,Y$1,"Falsch"),"")</f>
        <v/>
      </c>
      <c r="Z115" s="16" t="str">
        <f>IF(AND(Z$10&gt;=$D115,Z$11&lt;=$E115),VLOOKUP($F115,$K$2:AN$8,Z$1,"Falsch"),"")</f>
        <v/>
      </c>
      <c r="AA115" s="16" t="str">
        <f>IF(AND(AA$10&gt;=$D115,AA$11&lt;=$E115),VLOOKUP($F115,$K$2:AO$8,AA$1,"Falsch"),"")</f>
        <v/>
      </c>
      <c r="AB115" s="16" t="str">
        <f>IF(AND(AB$10&gt;=$D115,AB$11&lt;=$E115),VLOOKUP($F115,$K$2:AP$8,AB$1,"Falsch"),"")</f>
        <v/>
      </c>
      <c r="AC115" s="16" t="str">
        <f>IF(AND(AC$10&gt;=$D115,AC$11&lt;=$E115),VLOOKUP($F115,$K$2:AQ$8,AC$1,"Falsch"),"")</f>
        <v/>
      </c>
      <c r="AD115" s="16" t="str">
        <f>IF(AND(AD$10&gt;=$D115,AD$11&lt;=$E115),VLOOKUP($F115,$K$2:AR$8,AD$1,"Falsch"),"")</f>
        <v/>
      </c>
    </row>
    <row r="116" spans="9:30" x14ac:dyDescent="0.25">
      <c r="I116" s="21">
        <f t="shared" si="31"/>
        <v>0</v>
      </c>
      <c r="K116" s="25">
        <f t="shared" si="32"/>
        <v>0</v>
      </c>
      <c r="L116" s="16" t="str">
        <f>IF(AND(L$10&gt;=$D116,L$11&lt;=$E116),VLOOKUP($F116,$K$2:Z$8,L$1,"Falsch"),"")</f>
        <v/>
      </c>
      <c r="M116" s="16" t="str">
        <f>IF(AND(M$10&gt;=$D116,M$11&lt;=$E116),VLOOKUP($F116,$K$2:AA$8,M$1,"Falsch"),"")</f>
        <v/>
      </c>
      <c r="N116" s="16" t="str">
        <f>IF(AND(N$10&gt;=$D116,N$11&lt;=$E116),VLOOKUP($F116,$K$2:AB$8,N$1,"Falsch"),"")</f>
        <v/>
      </c>
      <c r="O116" s="16" t="str">
        <f>IF(AND(O$10&gt;=$D116,O$11&lt;=$E116),VLOOKUP($F116,$K$2:AC$8,O$1,"Falsch"),"")</f>
        <v/>
      </c>
      <c r="P116" s="16" t="str">
        <f>IF(AND(P$10&gt;=$D116,P$11&lt;=$E116),VLOOKUP($F116,$K$2:AD$8,P$1,"Falsch"),"")</f>
        <v/>
      </c>
      <c r="Q116" s="16" t="str">
        <f>IF(AND(Q$10&gt;=$D116,Q$11&lt;=$E116),VLOOKUP($F116,$K$2:AE$8,Q$1,"Falsch"),"")</f>
        <v/>
      </c>
      <c r="R116" s="16" t="str">
        <f>IF(AND(R$10&gt;=$D116,R$11&lt;=$E116),VLOOKUP($F116,$K$2:AF$8,R$1,"Falsch"),"")</f>
        <v/>
      </c>
      <c r="S116" s="16" t="str">
        <f>IF(AND(S$10&gt;=$D116,S$11&lt;=$E116),VLOOKUP($F116,$K$2:AG$8,S$1,"Falsch"),"")</f>
        <v/>
      </c>
      <c r="T116" s="16" t="str">
        <f>IF(AND(T$10&gt;=$D116,T$11&lt;=$E116),VLOOKUP($F116,$K$2:AH$8,T$1,"Falsch"),"")</f>
        <v/>
      </c>
      <c r="U116" s="16" t="str">
        <f>IF(AND(U$10&gt;=$D116,U$11&lt;=$E116),VLOOKUP($F116,$K$2:AI$8,U$1,"Falsch"),"")</f>
        <v/>
      </c>
      <c r="V116" s="16" t="str">
        <f>IF(AND(V$10&gt;=$D116,V$11&lt;=$E116),VLOOKUP($F116,$K$2:AJ$8,V$1,"Falsch"),"")</f>
        <v/>
      </c>
      <c r="W116" s="16" t="str">
        <f>IF(AND(W$10&gt;=$D116,W$11&lt;=$E116),VLOOKUP($F116,$K$2:AK$8,W$1,"Falsch"),"")</f>
        <v/>
      </c>
      <c r="X116" s="16" t="str">
        <f>IF(AND(X$10&gt;=$D116,X$11&lt;=$E116),VLOOKUP($F116,$K$2:AL$8,X$1,"Falsch"),"")</f>
        <v/>
      </c>
      <c r="Y116" s="16" t="str">
        <f>IF(AND(Y$10&gt;=$D116,Y$11&lt;=$E116),VLOOKUP($F116,$K$2:AM$8,Y$1,"Falsch"),"")</f>
        <v/>
      </c>
      <c r="Z116" s="16" t="str">
        <f>IF(AND(Z$10&gt;=$D116,Z$11&lt;=$E116),VLOOKUP($F116,$K$2:AN$8,Z$1,"Falsch"),"")</f>
        <v/>
      </c>
      <c r="AA116" s="16" t="str">
        <f>IF(AND(AA$10&gt;=$D116,AA$11&lt;=$E116),VLOOKUP($F116,$K$2:AO$8,AA$1,"Falsch"),"")</f>
        <v/>
      </c>
      <c r="AB116" s="16" t="str">
        <f>IF(AND(AB$10&gt;=$D116,AB$11&lt;=$E116),VLOOKUP($F116,$K$2:AP$8,AB$1,"Falsch"),"")</f>
        <v/>
      </c>
      <c r="AC116" s="16" t="str">
        <f>IF(AND(AC$10&gt;=$D116,AC$11&lt;=$E116),VLOOKUP($F116,$K$2:AQ$8,AC$1,"Falsch"),"")</f>
        <v/>
      </c>
      <c r="AD116" s="16" t="str">
        <f>IF(AND(AD$10&gt;=$D116,AD$11&lt;=$E116),VLOOKUP($F116,$K$2:AR$8,AD$1,"Falsch"),"")</f>
        <v/>
      </c>
    </row>
    <row r="117" spans="9:30" x14ac:dyDescent="0.25">
      <c r="I117" s="21">
        <f t="shared" si="31"/>
        <v>0</v>
      </c>
      <c r="K117" s="25">
        <f t="shared" si="32"/>
        <v>0</v>
      </c>
      <c r="L117" s="16" t="str">
        <f>IF(AND(L$10&gt;=$D117,L$11&lt;=$E117),VLOOKUP($F117,$K$2:Z$8,L$1,"Falsch"),"")</f>
        <v/>
      </c>
      <c r="M117" s="16" t="str">
        <f>IF(AND(M$10&gt;=$D117,M$11&lt;=$E117),VLOOKUP($F117,$K$2:AA$8,M$1,"Falsch"),"")</f>
        <v/>
      </c>
      <c r="N117" s="16" t="str">
        <f>IF(AND(N$10&gt;=$D117,N$11&lt;=$E117),VLOOKUP($F117,$K$2:AB$8,N$1,"Falsch"),"")</f>
        <v/>
      </c>
      <c r="O117" s="16" t="str">
        <f>IF(AND(O$10&gt;=$D117,O$11&lt;=$E117),VLOOKUP($F117,$K$2:AC$8,O$1,"Falsch"),"")</f>
        <v/>
      </c>
      <c r="P117" s="16" t="str">
        <f>IF(AND(P$10&gt;=$D117,P$11&lt;=$E117),VLOOKUP($F117,$K$2:AD$8,P$1,"Falsch"),"")</f>
        <v/>
      </c>
      <c r="Q117" s="16" t="str">
        <f>IF(AND(Q$10&gt;=$D117,Q$11&lt;=$E117),VLOOKUP($F117,$K$2:AE$8,Q$1,"Falsch"),"")</f>
        <v/>
      </c>
      <c r="R117" s="16" t="str">
        <f>IF(AND(R$10&gt;=$D117,R$11&lt;=$E117),VLOOKUP($F117,$K$2:AF$8,R$1,"Falsch"),"")</f>
        <v/>
      </c>
      <c r="S117" s="16" t="str">
        <f>IF(AND(S$10&gt;=$D117,S$11&lt;=$E117),VLOOKUP($F117,$K$2:AG$8,S$1,"Falsch"),"")</f>
        <v/>
      </c>
      <c r="T117" s="16" t="str">
        <f>IF(AND(T$10&gt;=$D117,T$11&lt;=$E117),VLOOKUP($F117,$K$2:AH$8,T$1,"Falsch"),"")</f>
        <v/>
      </c>
      <c r="U117" s="16" t="str">
        <f>IF(AND(U$10&gt;=$D117,U$11&lt;=$E117),VLOOKUP($F117,$K$2:AI$8,U$1,"Falsch"),"")</f>
        <v/>
      </c>
      <c r="V117" s="16" t="str">
        <f>IF(AND(V$10&gt;=$D117,V$11&lt;=$E117),VLOOKUP($F117,$K$2:AJ$8,V$1,"Falsch"),"")</f>
        <v/>
      </c>
      <c r="W117" s="16" t="str">
        <f>IF(AND(W$10&gt;=$D117,W$11&lt;=$E117),VLOOKUP($F117,$K$2:AK$8,W$1,"Falsch"),"")</f>
        <v/>
      </c>
      <c r="X117" s="16" t="str">
        <f>IF(AND(X$10&gt;=$D117,X$11&lt;=$E117),VLOOKUP($F117,$K$2:AL$8,X$1,"Falsch"),"")</f>
        <v/>
      </c>
      <c r="Y117" s="16" t="str">
        <f>IF(AND(Y$10&gt;=$D117,Y$11&lt;=$E117),VLOOKUP($F117,$K$2:AM$8,Y$1,"Falsch"),"")</f>
        <v/>
      </c>
      <c r="Z117" s="16" t="str">
        <f>IF(AND(Z$10&gt;=$D117,Z$11&lt;=$E117),VLOOKUP($F117,$K$2:AN$8,Z$1,"Falsch"),"")</f>
        <v/>
      </c>
      <c r="AA117" s="16" t="str">
        <f>IF(AND(AA$10&gt;=$D117,AA$11&lt;=$E117),VLOOKUP($F117,$K$2:AO$8,AA$1,"Falsch"),"")</f>
        <v/>
      </c>
      <c r="AB117" s="16" t="str">
        <f>IF(AND(AB$10&gt;=$D117,AB$11&lt;=$E117),VLOOKUP($F117,$K$2:AP$8,AB$1,"Falsch"),"")</f>
        <v/>
      </c>
      <c r="AC117" s="16" t="str">
        <f>IF(AND(AC$10&gt;=$D117,AC$11&lt;=$E117),VLOOKUP($F117,$K$2:AQ$8,AC$1,"Falsch"),"")</f>
        <v/>
      </c>
      <c r="AD117" s="16" t="str">
        <f>IF(AND(AD$10&gt;=$D117,AD$11&lt;=$E117),VLOOKUP($F117,$K$2:AR$8,AD$1,"Falsch"),"")</f>
        <v/>
      </c>
    </row>
    <row r="118" spans="9:30" x14ac:dyDescent="0.25">
      <c r="I118" s="21">
        <f t="shared" si="31"/>
        <v>0</v>
      </c>
      <c r="K118" s="25">
        <f t="shared" si="32"/>
        <v>0</v>
      </c>
      <c r="L118" s="16" t="str">
        <f>IF(AND(L$10&gt;=$D118,L$11&lt;=$E118),VLOOKUP($F118,$K$2:Z$8,L$1,"Falsch"),"")</f>
        <v/>
      </c>
      <c r="M118" s="16" t="str">
        <f>IF(AND(M$10&gt;=$D118,M$11&lt;=$E118),VLOOKUP($F118,$K$2:AA$8,M$1,"Falsch"),"")</f>
        <v/>
      </c>
      <c r="N118" s="16" t="str">
        <f>IF(AND(N$10&gt;=$D118,N$11&lt;=$E118),VLOOKUP($F118,$K$2:AB$8,N$1,"Falsch"),"")</f>
        <v/>
      </c>
      <c r="O118" s="16" t="str">
        <f>IF(AND(O$10&gt;=$D118,O$11&lt;=$E118),VLOOKUP($F118,$K$2:AC$8,O$1,"Falsch"),"")</f>
        <v/>
      </c>
      <c r="P118" s="16" t="str">
        <f>IF(AND(P$10&gt;=$D118,P$11&lt;=$E118),VLOOKUP($F118,$K$2:AD$8,P$1,"Falsch"),"")</f>
        <v/>
      </c>
      <c r="Q118" s="16" t="str">
        <f>IF(AND(Q$10&gt;=$D118,Q$11&lt;=$E118),VLOOKUP($F118,$K$2:AE$8,Q$1,"Falsch"),"")</f>
        <v/>
      </c>
      <c r="R118" s="16" t="str">
        <f>IF(AND(R$10&gt;=$D118,R$11&lt;=$E118),VLOOKUP($F118,$K$2:AF$8,R$1,"Falsch"),"")</f>
        <v/>
      </c>
      <c r="S118" s="16" t="str">
        <f>IF(AND(S$10&gt;=$D118,S$11&lt;=$E118),VLOOKUP($F118,$K$2:AG$8,S$1,"Falsch"),"")</f>
        <v/>
      </c>
      <c r="T118" s="16" t="str">
        <f>IF(AND(T$10&gt;=$D118,T$11&lt;=$E118),VLOOKUP($F118,$K$2:AH$8,T$1,"Falsch"),"")</f>
        <v/>
      </c>
      <c r="U118" s="16" t="str">
        <f>IF(AND(U$10&gt;=$D118,U$11&lt;=$E118),VLOOKUP($F118,$K$2:AI$8,U$1,"Falsch"),"")</f>
        <v/>
      </c>
      <c r="V118" s="16" t="str">
        <f>IF(AND(V$10&gt;=$D118,V$11&lt;=$E118),VLOOKUP($F118,$K$2:AJ$8,V$1,"Falsch"),"")</f>
        <v/>
      </c>
      <c r="W118" s="16" t="str">
        <f>IF(AND(W$10&gt;=$D118,W$11&lt;=$E118),VLOOKUP($F118,$K$2:AK$8,W$1,"Falsch"),"")</f>
        <v/>
      </c>
      <c r="X118" s="16" t="str">
        <f>IF(AND(X$10&gt;=$D118,X$11&lt;=$E118),VLOOKUP($F118,$K$2:AL$8,X$1,"Falsch"),"")</f>
        <v/>
      </c>
      <c r="Y118" s="16" t="str">
        <f>IF(AND(Y$10&gt;=$D118,Y$11&lt;=$E118),VLOOKUP($F118,$K$2:AM$8,Y$1,"Falsch"),"")</f>
        <v/>
      </c>
      <c r="Z118" s="16" t="str">
        <f>IF(AND(Z$10&gt;=$D118,Z$11&lt;=$E118),VLOOKUP($F118,$K$2:AN$8,Z$1,"Falsch"),"")</f>
        <v/>
      </c>
      <c r="AA118" s="16" t="str">
        <f>IF(AND(AA$10&gt;=$D118,AA$11&lt;=$E118),VLOOKUP($F118,$K$2:AO$8,AA$1,"Falsch"),"")</f>
        <v/>
      </c>
      <c r="AB118" s="16" t="str">
        <f>IF(AND(AB$10&gt;=$D118,AB$11&lt;=$E118),VLOOKUP($F118,$K$2:AP$8,AB$1,"Falsch"),"")</f>
        <v/>
      </c>
      <c r="AC118" s="16" t="str">
        <f>IF(AND(AC$10&gt;=$D118,AC$11&lt;=$E118),VLOOKUP($F118,$K$2:AQ$8,AC$1,"Falsch"),"")</f>
        <v/>
      </c>
      <c r="AD118" s="16" t="str">
        <f>IF(AND(AD$10&gt;=$D118,AD$11&lt;=$E118),VLOOKUP($F118,$K$2:AR$8,AD$1,"Falsch"),"")</f>
        <v/>
      </c>
    </row>
    <row r="119" spans="9:30" x14ac:dyDescent="0.25">
      <c r="I119" s="21">
        <f t="shared" si="31"/>
        <v>0</v>
      </c>
      <c r="K119" s="25">
        <f t="shared" si="32"/>
        <v>0</v>
      </c>
      <c r="L119" s="16" t="str">
        <f>IF(AND(L$10&gt;=$D119,L$11&lt;=$E119),VLOOKUP($F119,$K$2:Z$8,L$1,"Falsch"),"")</f>
        <v/>
      </c>
      <c r="M119" s="16" t="str">
        <f>IF(AND(M$10&gt;=$D119,M$11&lt;=$E119),VLOOKUP($F119,$K$2:AA$8,M$1,"Falsch"),"")</f>
        <v/>
      </c>
      <c r="N119" s="16" t="str">
        <f>IF(AND(N$10&gt;=$D119,N$11&lt;=$E119),VLOOKUP($F119,$K$2:AB$8,N$1,"Falsch"),"")</f>
        <v/>
      </c>
      <c r="O119" s="16" t="str">
        <f>IF(AND(O$10&gt;=$D119,O$11&lt;=$E119),VLOOKUP($F119,$K$2:AC$8,O$1,"Falsch"),"")</f>
        <v/>
      </c>
      <c r="P119" s="16" t="str">
        <f>IF(AND(P$10&gt;=$D119,P$11&lt;=$E119),VLOOKUP($F119,$K$2:AD$8,P$1,"Falsch"),"")</f>
        <v/>
      </c>
      <c r="Q119" s="16" t="str">
        <f>IF(AND(Q$10&gt;=$D119,Q$11&lt;=$E119),VLOOKUP($F119,$K$2:AE$8,Q$1,"Falsch"),"")</f>
        <v/>
      </c>
      <c r="R119" s="16" t="str">
        <f>IF(AND(R$10&gt;=$D119,R$11&lt;=$E119),VLOOKUP($F119,$K$2:AF$8,R$1,"Falsch"),"")</f>
        <v/>
      </c>
      <c r="S119" s="16" t="str">
        <f>IF(AND(S$10&gt;=$D119,S$11&lt;=$E119),VLOOKUP($F119,$K$2:AG$8,S$1,"Falsch"),"")</f>
        <v/>
      </c>
      <c r="T119" s="16" t="str">
        <f>IF(AND(T$10&gt;=$D119,T$11&lt;=$E119),VLOOKUP($F119,$K$2:AH$8,T$1,"Falsch"),"")</f>
        <v/>
      </c>
      <c r="U119" s="16" t="str">
        <f>IF(AND(U$10&gt;=$D119,U$11&lt;=$E119),VLOOKUP($F119,$K$2:AI$8,U$1,"Falsch"),"")</f>
        <v/>
      </c>
      <c r="V119" s="16" t="str">
        <f>IF(AND(V$10&gt;=$D119,V$11&lt;=$E119),VLOOKUP($F119,$K$2:AJ$8,V$1,"Falsch"),"")</f>
        <v/>
      </c>
      <c r="W119" s="16" t="str">
        <f>IF(AND(W$10&gt;=$D119,W$11&lt;=$E119),VLOOKUP($F119,$K$2:AK$8,W$1,"Falsch"),"")</f>
        <v/>
      </c>
      <c r="X119" s="16" t="str">
        <f>IF(AND(X$10&gt;=$D119,X$11&lt;=$E119),VLOOKUP($F119,$K$2:AL$8,X$1,"Falsch"),"")</f>
        <v/>
      </c>
      <c r="Y119" s="16" t="str">
        <f>IF(AND(Y$10&gt;=$D119,Y$11&lt;=$E119),VLOOKUP($F119,$K$2:AM$8,Y$1,"Falsch"),"")</f>
        <v/>
      </c>
      <c r="Z119" s="16" t="str">
        <f>IF(AND(Z$10&gt;=$D119,Z$11&lt;=$E119),VLOOKUP($F119,$K$2:AN$8,Z$1,"Falsch"),"")</f>
        <v/>
      </c>
      <c r="AA119" s="16" t="str">
        <f>IF(AND(AA$10&gt;=$D119,AA$11&lt;=$E119),VLOOKUP($F119,$K$2:AO$8,AA$1,"Falsch"),"")</f>
        <v/>
      </c>
      <c r="AB119" s="16" t="str">
        <f>IF(AND(AB$10&gt;=$D119,AB$11&lt;=$E119),VLOOKUP($F119,$K$2:AP$8,AB$1,"Falsch"),"")</f>
        <v/>
      </c>
      <c r="AC119" s="16" t="str">
        <f>IF(AND(AC$10&gt;=$D119,AC$11&lt;=$E119),VLOOKUP($F119,$K$2:AQ$8,AC$1,"Falsch"),"")</f>
        <v/>
      </c>
      <c r="AD119" s="16" t="str">
        <f>IF(AND(AD$10&gt;=$D119,AD$11&lt;=$E119),VLOOKUP($F119,$K$2:AR$8,AD$1,"Falsch"),"")</f>
        <v/>
      </c>
    </row>
    <row r="120" spans="9:30" x14ac:dyDescent="0.25">
      <c r="I120" s="21">
        <f t="shared" si="31"/>
        <v>0</v>
      </c>
      <c r="K120" s="25">
        <f t="shared" si="32"/>
        <v>0</v>
      </c>
      <c r="L120" s="16" t="str">
        <f>IF(AND(L$10&gt;=$D120,L$11&lt;=$E120),VLOOKUP($F120,$K$2:Z$8,L$1,"Falsch"),"")</f>
        <v/>
      </c>
      <c r="M120" s="16" t="str">
        <f>IF(AND(M$10&gt;=$D120,M$11&lt;=$E120),VLOOKUP($F120,$K$2:AA$8,M$1,"Falsch"),"")</f>
        <v/>
      </c>
      <c r="N120" s="16" t="str">
        <f>IF(AND(N$10&gt;=$D120,N$11&lt;=$E120),VLOOKUP($F120,$K$2:AB$8,N$1,"Falsch"),"")</f>
        <v/>
      </c>
      <c r="O120" s="16" t="str">
        <f>IF(AND(O$10&gt;=$D120,O$11&lt;=$E120),VLOOKUP($F120,$K$2:AC$8,O$1,"Falsch"),"")</f>
        <v/>
      </c>
      <c r="P120" s="16" t="str">
        <f>IF(AND(P$10&gt;=$D120,P$11&lt;=$E120),VLOOKUP($F120,$K$2:AD$8,P$1,"Falsch"),"")</f>
        <v/>
      </c>
      <c r="Q120" s="16" t="str">
        <f>IF(AND(Q$10&gt;=$D120,Q$11&lt;=$E120),VLOOKUP($F120,$K$2:AE$8,Q$1,"Falsch"),"")</f>
        <v/>
      </c>
      <c r="R120" s="16" t="str">
        <f>IF(AND(R$10&gt;=$D120,R$11&lt;=$E120),VLOOKUP($F120,$K$2:AF$8,R$1,"Falsch"),"")</f>
        <v/>
      </c>
      <c r="S120" s="16" t="str">
        <f>IF(AND(S$10&gt;=$D120,S$11&lt;=$E120),VLOOKUP($F120,$K$2:AG$8,S$1,"Falsch"),"")</f>
        <v/>
      </c>
      <c r="T120" s="16" t="str">
        <f>IF(AND(T$10&gt;=$D120,T$11&lt;=$E120),VLOOKUP($F120,$K$2:AH$8,T$1,"Falsch"),"")</f>
        <v/>
      </c>
      <c r="U120" s="16" t="str">
        <f>IF(AND(U$10&gt;=$D120,U$11&lt;=$E120),VLOOKUP($F120,$K$2:AI$8,U$1,"Falsch"),"")</f>
        <v/>
      </c>
      <c r="V120" s="16" t="str">
        <f>IF(AND(V$10&gt;=$D120,V$11&lt;=$E120),VLOOKUP($F120,$K$2:AJ$8,V$1,"Falsch"),"")</f>
        <v/>
      </c>
      <c r="W120" s="16" t="str">
        <f>IF(AND(W$10&gt;=$D120,W$11&lt;=$E120),VLOOKUP($F120,$K$2:AK$8,W$1,"Falsch"),"")</f>
        <v/>
      </c>
      <c r="X120" s="16" t="str">
        <f>IF(AND(X$10&gt;=$D120,X$11&lt;=$E120),VLOOKUP($F120,$K$2:AL$8,X$1,"Falsch"),"")</f>
        <v/>
      </c>
      <c r="Y120" s="16" t="str">
        <f>IF(AND(Y$10&gt;=$D120,Y$11&lt;=$E120),VLOOKUP($F120,$K$2:AM$8,Y$1,"Falsch"),"")</f>
        <v/>
      </c>
      <c r="Z120" s="16" t="str">
        <f>IF(AND(Z$10&gt;=$D120,Z$11&lt;=$E120),VLOOKUP($F120,$K$2:AN$8,Z$1,"Falsch"),"")</f>
        <v/>
      </c>
      <c r="AA120" s="16" t="str">
        <f>IF(AND(AA$10&gt;=$D120,AA$11&lt;=$E120),VLOOKUP($F120,$K$2:AO$8,AA$1,"Falsch"),"")</f>
        <v/>
      </c>
      <c r="AB120" s="16" t="str">
        <f>IF(AND(AB$10&gt;=$D120,AB$11&lt;=$E120),VLOOKUP($F120,$K$2:AP$8,AB$1,"Falsch"),"")</f>
        <v/>
      </c>
      <c r="AC120" s="16" t="str">
        <f>IF(AND(AC$10&gt;=$D120,AC$11&lt;=$E120),VLOOKUP($F120,$K$2:AQ$8,AC$1,"Falsch"),"")</f>
        <v/>
      </c>
      <c r="AD120" s="16" t="str">
        <f>IF(AND(AD$10&gt;=$D120,AD$11&lt;=$E120),VLOOKUP($F120,$K$2:AR$8,AD$1,"Falsch"),"")</f>
        <v/>
      </c>
    </row>
    <row r="121" spans="9:30" x14ac:dyDescent="0.25">
      <c r="I121" s="21">
        <f t="shared" si="31"/>
        <v>0</v>
      </c>
      <c r="K121" s="25">
        <f t="shared" si="32"/>
        <v>0</v>
      </c>
      <c r="L121" s="16" t="str">
        <f>IF(AND(L$10&gt;=$D121,L$11&lt;=$E121),VLOOKUP($F121,$K$2:Z$8,L$1,"Falsch"),"")</f>
        <v/>
      </c>
      <c r="M121" s="16" t="str">
        <f>IF(AND(M$10&gt;=$D121,M$11&lt;=$E121),VLOOKUP($F121,$K$2:AA$8,M$1,"Falsch"),"")</f>
        <v/>
      </c>
      <c r="N121" s="16" t="str">
        <f>IF(AND(N$10&gt;=$D121,N$11&lt;=$E121),VLOOKUP($F121,$K$2:AB$8,N$1,"Falsch"),"")</f>
        <v/>
      </c>
      <c r="O121" s="16" t="str">
        <f>IF(AND(O$10&gt;=$D121,O$11&lt;=$E121),VLOOKUP($F121,$K$2:AC$8,O$1,"Falsch"),"")</f>
        <v/>
      </c>
      <c r="P121" s="16" t="str">
        <f>IF(AND(P$10&gt;=$D121,P$11&lt;=$E121),VLOOKUP($F121,$K$2:AD$8,P$1,"Falsch"),"")</f>
        <v/>
      </c>
      <c r="Q121" s="16" t="str">
        <f>IF(AND(Q$10&gt;=$D121,Q$11&lt;=$E121),VLOOKUP($F121,$K$2:AE$8,Q$1,"Falsch"),"")</f>
        <v/>
      </c>
      <c r="R121" s="16" t="str">
        <f>IF(AND(R$10&gt;=$D121,R$11&lt;=$E121),VLOOKUP($F121,$K$2:AF$8,R$1,"Falsch"),"")</f>
        <v/>
      </c>
      <c r="S121" s="16" t="str">
        <f>IF(AND(S$10&gt;=$D121,S$11&lt;=$E121),VLOOKUP($F121,$K$2:AG$8,S$1,"Falsch"),"")</f>
        <v/>
      </c>
      <c r="T121" s="16" t="str">
        <f>IF(AND(T$10&gt;=$D121,T$11&lt;=$E121),VLOOKUP($F121,$K$2:AH$8,T$1,"Falsch"),"")</f>
        <v/>
      </c>
      <c r="U121" s="16" t="str">
        <f>IF(AND(U$10&gt;=$D121,U$11&lt;=$E121),VLOOKUP($F121,$K$2:AI$8,U$1,"Falsch"),"")</f>
        <v/>
      </c>
      <c r="V121" s="16" t="str">
        <f>IF(AND(V$10&gt;=$D121,V$11&lt;=$E121),VLOOKUP($F121,$K$2:AJ$8,V$1,"Falsch"),"")</f>
        <v/>
      </c>
      <c r="W121" s="16" t="str">
        <f>IF(AND(W$10&gt;=$D121,W$11&lt;=$E121),VLOOKUP($F121,$K$2:AK$8,W$1,"Falsch"),"")</f>
        <v/>
      </c>
      <c r="X121" s="16" t="str">
        <f>IF(AND(X$10&gt;=$D121,X$11&lt;=$E121),VLOOKUP($F121,$K$2:AL$8,X$1,"Falsch"),"")</f>
        <v/>
      </c>
      <c r="Y121" s="16" t="str">
        <f>IF(AND(Y$10&gt;=$D121,Y$11&lt;=$E121),VLOOKUP($F121,$K$2:AM$8,Y$1,"Falsch"),"")</f>
        <v/>
      </c>
      <c r="Z121" s="16" t="str">
        <f>IF(AND(Z$10&gt;=$D121,Z$11&lt;=$E121),VLOOKUP($F121,$K$2:AN$8,Z$1,"Falsch"),"")</f>
        <v/>
      </c>
      <c r="AA121" s="16" t="str">
        <f>IF(AND(AA$10&gt;=$D121,AA$11&lt;=$E121),VLOOKUP($F121,$K$2:AO$8,AA$1,"Falsch"),"")</f>
        <v/>
      </c>
      <c r="AB121" s="16" t="str">
        <f>IF(AND(AB$10&gt;=$D121,AB$11&lt;=$E121),VLOOKUP($F121,$K$2:AP$8,AB$1,"Falsch"),"")</f>
        <v/>
      </c>
      <c r="AC121" s="16" t="str">
        <f>IF(AND(AC$10&gt;=$D121,AC$11&lt;=$E121),VLOOKUP($F121,$K$2:AQ$8,AC$1,"Falsch"),"")</f>
        <v/>
      </c>
      <c r="AD121" s="16" t="str">
        <f>IF(AND(AD$10&gt;=$D121,AD$11&lt;=$E121),VLOOKUP($F121,$K$2:AR$8,AD$1,"Falsch"),"")</f>
        <v/>
      </c>
    </row>
    <row r="122" spans="9:30" x14ac:dyDescent="0.25">
      <c r="I122" s="21">
        <f t="shared" si="31"/>
        <v>0</v>
      </c>
      <c r="K122" s="25">
        <f t="shared" si="32"/>
        <v>0</v>
      </c>
      <c r="L122" s="16" t="str">
        <f>IF(AND(L$10&gt;=$D122,L$11&lt;=$E122),VLOOKUP($F122,$K$2:Z$8,L$1,"Falsch"),"")</f>
        <v/>
      </c>
      <c r="M122" s="16" t="str">
        <f>IF(AND(M$10&gt;=$D122,M$11&lt;=$E122),VLOOKUP($F122,$K$2:AA$8,M$1,"Falsch"),"")</f>
        <v/>
      </c>
      <c r="N122" s="16" t="str">
        <f>IF(AND(N$10&gt;=$D122,N$11&lt;=$E122),VLOOKUP($F122,$K$2:AB$8,N$1,"Falsch"),"")</f>
        <v/>
      </c>
      <c r="O122" s="16" t="str">
        <f>IF(AND(O$10&gt;=$D122,O$11&lt;=$E122),VLOOKUP($F122,$K$2:AC$8,O$1,"Falsch"),"")</f>
        <v/>
      </c>
      <c r="P122" s="16" t="str">
        <f>IF(AND(P$10&gt;=$D122,P$11&lt;=$E122),VLOOKUP($F122,$K$2:AD$8,P$1,"Falsch"),"")</f>
        <v/>
      </c>
      <c r="Q122" s="16" t="str">
        <f>IF(AND(Q$10&gt;=$D122,Q$11&lt;=$E122),VLOOKUP($F122,$K$2:AE$8,Q$1,"Falsch"),"")</f>
        <v/>
      </c>
      <c r="R122" s="16" t="str">
        <f>IF(AND(R$10&gt;=$D122,R$11&lt;=$E122),VLOOKUP($F122,$K$2:AF$8,R$1,"Falsch"),"")</f>
        <v/>
      </c>
      <c r="S122" s="16" t="str">
        <f>IF(AND(S$10&gt;=$D122,S$11&lt;=$E122),VLOOKUP($F122,$K$2:AG$8,S$1,"Falsch"),"")</f>
        <v/>
      </c>
      <c r="T122" s="16" t="str">
        <f>IF(AND(T$10&gt;=$D122,T$11&lt;=$E122),VLOOKUP($F122,$K$2:AH$8,T$1,"Falsch"),"")</f>
        <v/>
      </c>
      <c r="U122" s="16" t="str">
        <f>IF(AND(U$10&gt;=$D122,U$11&lt;=$E122),VLOOKUP($F122,$K$2:AI$8,U$1,"Falsch"),"")</f>
        <v/>
      </c>
      <c r="V122" s="16" t="str">
        <f>IF(AND(V$10&gt;=$D122,V$11&lt;=$E122),VLOOKUP($F122,$K$2:AJ$8,V$1,"Falsch"),"")</f>
        <v/>
      </c>
      <c r="W122" s="16" t="str">
        <f>IF(AND(W$10&gt;=$D122,W$11&lt;=$E122),VLOOKUP($F122,$K$2:AK$8,W$1,"Falsch"),"")</f>
        <v/>
      </c>
      <c r="X122" s="16" t="str">
        <f>IF(AND(X$10&gt;=$D122,X$11&lt;=$E122),VLOOKUP($F122,$K$2:AL$8,X$1,"Falsch"),"")</f>
        <v/>
      </c>
      <c r="Y122" s="16" t="str">
        <f>IF(AND(Y$10&gt;=$D122,Y$11&lt;=$E122),VLOOKUP($F122,$K$2:AM$8,Y$1,"Falsch"),"")</f>
        <v/>
      </c>
      <c r="Z122" s="16" t="str">
        <f>IF(AND(Z$10&gt;=$D122,Z$11&lt;=$E122),VLOOKUP($F122,$K$2:AN$8,Z$1,"Falsch"),"")</f>
        <v/>
      </c>
      <c r="AA122" s="16" t="str">
        <f>IF(AND(AA$10&gt;=$D122,AA$11&lt;=$E122),VLOOKUP($F122,$K$2:AO$8,AA$1,"Falsch"),"")</f>
        <v/>
      </c>
      <c r="AB122" s="16" t="str">
        <f>IF(AND(AB$10&gt;=$D122,AB$11&lt;=$E122),VLOOKUP($F122,$K$2:AP$8,AB$1,"Falsch"),"")</f>
        <v/>
      </c>
      <c r="AC122" s="16" t="str">
        <f>IF(AND(AC$10&gt;=$D122,AC$11&lt;=$E122),VLOOKUP($F122,$K$2:AQ$8,AC$1,"Falsch"),"")</f>
        <v/>
      </c>
      <c r="AD122" s="16" t="str">
        <f>IF(AND(AD$10&gt;=$D122,AD$11&lt;=$E122),VLOOKUP($F122,$K$2:AR$8,AD$1,"Falsch"),"")</f>
        <v/>
      </c>
    </row>
    <row r="123" spans="9:30" x14ac:dyDescent="0.25">
      <c r="I123" s="21">
        <f t="shared" si="31"/>
        <v>0</v>
      </c>
      <c r="K123" s="25">
        <f t="shared" si="32"/>
        <v>0</v>
      </c>
      <c r="L123" s="16" t="str">
        <f>IF(AND(L$10&gt;=$D123,L$11&lt;=$E123),VLOOKUP($F123,$K$2:Z$8,L$1,"Falsch"),"")</f>
        <v/>
      </c>
      <c r="M123" s="16" t="str">
        <f>IF(AND(M$10&gt;=$D123,M$11&lt;=$E123),VLOOKUP($F123,$K$2:AA$8,M$1,"Falsch"),"")</f>
        <v/>
      </c>
      <c r="N123" s="16" t="str">
        <f>IF(AND(N$10&gt;=$D123,N$11&lt;=$E123),VLOOKUP($F123,$K$2:AB$8,N$1,"Falsch"),"")</f>
        <v/>
      </c>
      <c r="O123" s="16" t="str">
        <f>IF(AND(O$10&gt;=$D123,O$11&lt;=$E123),VLOOKUP($F123,$K$2:AC$8,O$1,"Falsch"),"")</f>
        <v/>
      </c>
      <c r="P123" s="16" t="str">
        <f>IF(AND(P$10&gt;=$D123,P$11&lt;=$E123),VLOOKUP($F123,$K$2:AD$8,P$1,"Falsch"),"")</f>
        <v/>
      </c>
      <c r="Q123" s="16" t="str">
        <f>IF(AND(Q$10&gt;=$D123,Q$11&lt;=$E123),VLOOKUP($F123,$K$2:AE$8,Q$1,"Falsch"),"")</f>
        <v/>
      </c>
      <c r="R123" s="16" t="str">
        <f>IF(AND(R$10&gt;=$D123,R$11&lt;=$E123),VLOOKUP($F123,$K$2:AF$8,R$1,"Falsch"),"")</f>
        <v/>
      </c>
      <c r="S123" s="16" t="str">
        <f>IF(AND(S$10&gt;=$D123,S$11&lt;=$E123),VLOOKUP($F123,$K$2:AG$8,S$1,"Falsch"),"")</f>
        <v/>
      </c>
      <c r="T123" s="16" t="str">
        <f>IF(AND(T$10&gt;=$D123,T$11&lt;=$E123),VLOOKUP($F123,$K$2:AH$8,T$1,"Falsch"),"")</f>
        <v/>
      </c>
      <c r="U123" s="16" t="str">
        <f>IF(AND(U$10&gt;=$D123,U$11&lt;=$E123),VLOOKUP($F123,$K$2:AI$8,U$1,"Falsch"),"")</f>
        <v/>
      </c>
      <c r="V123" s="16" t="str">
        <f>IF(AND(V$10&gt;=$D123,V$11&lt;=$E123),VLOOKUP($F123,$K$2:AJ$8,V$1,"Falsch"),"")</f>
        <v/>
      </c>
      <c r="W123" s="16" t="str">
        <f>IF(AND(W$10&gt;=$D123,W$11&lt;=$E123),VLOOKUP($F123,$K$2:AK$8,W$1,"Falsch"),"")</f>
        <v/>
      </c>
      <c r="X123" s="16" t="str">
        <f>IF(AND(X$10&gt;=$D123,X$11&lt;=$E123),VLOOKUP($F123,$K$2:AL$8,X$1,"Falsch"),"")</f>
        <v/>
      </c>
      <c r="Y123" s="16" t="str">
        <f>IF(AND(Y$10&gt;=$D123,Y$11&lt;=$E123),VLOOKUP($F123,$K$2:AM$8,Y$1,"Falsch"),"")</f>
        <v/>
      </c>
      <c r="Z123" s="16" t="str">
        <f>IF(AND(Z$10&gt;=$D123,Z$11&lt;=$E123),VLOOKUP($F123,$K$2:AN$8,Z$1,"Falsch"),"")</f>
        <v/>
      </c>
      <c r="AA123" s="16" t="str">
        <f>IF(AND(AA$10&gt;=$D123,AA$11&lt;=$E123),VLOOKUP($F123,$K$2:AO$8,AA$1,"Falsch"),"")</f>
        <v/>
      </c>
      <c r="AB123" s="16" t="str">
        <f>IF(AND(AB$10&gt;=$D123,AB$11&lt;=$E123),VLOOKUP($F123,$K$2:AP$8,AB$1,"Falsch"),"")</f>
        <v/>
      </c>
      <c r="AC123" s="16" t="str">
        <f>IF(AND(AC$10&gt;=$D123,AC$11&lt;=$E123),VLOOKUP($F123,$K$2:AQ$8,AC$1,"Falsch"),"")</f>
        <v/>
      </c>
      <c r="AD123" s="16" t="str">
        <f>IF(AND(AD$10&gt;=$D123,AD$11&lt;=$E123),VLOOKUP($F123,$K$2:AR$8,AD$1,"Falsch"),"")</f>
        <v/>
      </c>
    </row>
    <row r="124" spans="9:30" x14ac:dyDescent="0.25">
      <c r="I124" s="21">
        <f t="shared" si="31"/>
        <v>0</v>
      </c>
      <c r="K124" s="25">
        <f t="shared" si="32"/>
        <v>0</v>
      </c>
      <c r="L124" s="16" t="str">
        <f>IF(AND(L$10&gt;=$D124,L$11&lt;=$E124),VLOOKUP($F124,$K$2:Z$8,L$1,"Falsch"),"")</f>
        <v/>
      </c>
      <c r="M124" s="16" t="str">
        <f>IF(AND(M$10&gt;=$D124,M$11&lt;=$E124),VLOOKUP($F124,$K$2:AA$8,M$1,"Falsch"),"")</f>
        <v/>
      </c>
      <c r="N124" s="16" t="str">
        <f>IF(AND(N$10&gt;=$D124,N$11&lt;=$E124),VLOOKUP($F124,$K$2:AB$8,N$1,"Falsch"),"")</f>
        <v/>
      </c>
      <c r="O124" s="16" t="str">
        <f>IF(AND(O$10&gt;=$D124,O$11&lt;=$E124),VLOOKUP($F124,$K$2:AC$8,O$1,"Falsch"),"")</f>
        <v/>
      </c>
      <c r="P124" s="16" t="str">
        <f>IF(AND(P$10&gt;=$D124,P$11&lt;=$E124),VLOOKUP($F124,$K$2:AD$8,P$1,"Falsch"),"")</f>
        <v/>
      </c>
      <c r="Q124" s="16" t="str">
        <f>IF(AND(Q$10&gt;=$D124,Q$11&lt;=$E124),VLOOKUP($F124,$K$2:AE$8,Q$1,"Falsch"),"")</f>
        <v/>
      </c>
      <c r="R124" s="16" t="str">
        <f>IF(AND(R$10&gt;=$D124,R$11&lt;=$E124),VLOOKUP($F124,$K$2:AF$8,R$1,"Falsch"),"")</f>
        <v/>
      </c>
      <c r="S124" s="16" t="str">
        <f>IF(AND(S$10&gt;=$D124,S$11&lt;=$E124),VLOOKUP($F124,$K$2:AG$8,S$1,"Falsch"),"")</f>
        <v/>
      </c>
      <c r="T124" s="16" t="str">
        <f>IF(AND(T$10&gt;=$D124,T$11&lt;=$E124),VLOOKUP($F124,$K$2:AH$8,T$1,"Falsch"),"")</f>
        <v/>
      </c>
      <c r="U124" s="16" t="str">
        <f>IF(AND(U$10&gt;=$D124,U$11&lt;=$E124),VLOOKUP($F124,$K$2:AI$8,U$1,"Falsch"),"")</f>
        <v/>
      </c>
      <c r="V124" s="16" t="str">
        <f>IF(AND(V$10&gt;=$D124,V$11&lt;=$E124),VLOOKUP($F124,$K$2:AJ$8,V$1,"Falsch"),"")</f>
        <v/>
      </c>
      <c r="W124" s="16" t="str">
        <f>IF(AND(W$10&gt;=$D124,W$11&lt;=$E124),VLOOKUP($F124,$K$2:AK$8,W$1,"Falsch"),"")</f>
        <v/>
      </c>
      <c r="X124" s="16" t="str">
        <f>IF(AND(X$10&gt;=$D124,X$11&lt;=$E124),VLOOKUP($F124,$K$2:AL$8,X$1,"Falsch"),"")</f>
        <v/>
      </c>
      <c r="Y124" s="16" t="str">
        <f>IF(AND(Y$10&gt;=$D124,Y$11&lt;=$E124),VLOOKUP($F124,$K$2:AM$8,Y$1,"Falsch"),"")</f>
        <v/>
      </c>
      <c r="Z124" s="16" t="str">
        <f>IF(AND(Z$10&gt;=$D124,Z$11&lt;=$E124),VLOOKUP($F124,$K$2:AN$8,Z$1,"Falsch"),"")</f>
        <v/>
      </c>
      <c r="AA124" s="16" t="str">
        <f>IF(AND(AA$10&gt;=$D124,AA$11&lt;=$E124),VLOOKUP($F124,$K$2:AO$8,AA$1,"Falsch"),"")</f>
        <v/>
      </c>
      <c r="AB124" s="16" t="str">
        <f>IF(AND(AB$10&gt;=$D124,AB$11&lt;=$E124),VLOOKUP($F124,$K$2:AP$8,AB$1,"Falsch"),"")</f>
        <v/>
      </c>
      <c r="AC124" s="16" t="str">
        <f>IF(AND(AC$10&gt;=$D124,AC$11&lt;=$E124),VLOOKUP($F124,$K$2:AQ$8,AC$1,"Falsch"),"")</f>
        <v/>
      </c>
      <c r="AD124" s="16" t="str">
        <f>IF(AND(AD$10&gt;=$D124,AD$11&lt;=$E124),VLOOKUP($F124,$K$2:AR$8,AD$1,"Falsch"),"")</f>
        <v/>
      </c>
    </row>
    <row r="125" spans="9:30" x14ac:dyDescent="0.25">
      <c r="I125" s="21">
        <f t="shared" si="31"/>
        <v>0</v>
      </c>
      <c r="K125" s="25">
        <f t="shared" si="32"/>
        <v>0</v>
      </c>
      <c r="L125" s="16" t="str">
        <f>IF(AND(L$10&gt;=$D125,L$11&lt;=$E125),VLOOKUP($F125,$K$2:Z$8,L$1,"Falsch"),"")</f>
        <v/>
      </c>
      <c r="M125" s="16" t="str">
        <f>IF(AND(M$10&gt;=$D125,M$11&lt;=$E125),VLOOKUP($F125,$K$2:AA$8,M$1,"Falsch"),"")</f>
        <v/>
      </c>
      <c r="N125" s="16" t="str">
        <f>IF(AND(N$10&gt;=$D125,N$11&lt;=$E125),VLOOKUP($F125,$K$2:AB$8,N$1,"Falsch"),"")</f>
        <v/>
      </c>
      <c r="O125" s="16" t="str">
        <f>IF(AND(O$10&gt;=$D125,O$11&lt;=$E125),VLOOKUP($F125,$K$2:AC$8,O$1,"Falsch"),"")</f>
        <v/>
      </c>
      <c r="P125" s="16" t="str">
        <f>IF(AND(P$10&gt;=$D125,P$11&lt;=$E125),VLOOKUP($F125,$K$2:AD$8,P$1,"Falsch"),"")</f>
        <v/>
      </c>
      <c r="Q125" s="16" t="str">
        <f>IF(AND(Q$10&gt;=$D125,Q$11&lt;=$E125),VLOOKUP($F125,$K$2:AE$8,Q$1,"Falsch"),"")</f>
        <v/>
      </c>
      <c r="R125" s="16" t="str">
        <f>IF(AND(R$10&gt;=$D125,R$11&lt;=$E125),VLOOKUP($F125,$K$2:AF$8,R$1,"Falsch"),"")</f>
        <v/>
      </c>
      <c r="S125" s="16" t="str">
        <f>IF(AND(S$10&gt;=$D125,S$11&lt;=$E125),VLOOKUP($F125,$K$2:AG$8,S$1,"Falsch"),"")</f>
        <v/>
      </c>
      <c r="T125" s="16" t="str">
        <f>IF(AND(T$10&gt;=$D125,T$11&lt;=$E125),VLOOKUP($F125,$K$2:AH$8,T$1,"Falsch"),"")</f>
        <v/>
      </c>
      <c r="U125" s="16" t="str">
        <f>IF(AND(U$10&gt;=$D125,U$11&lt;=$E125),VLOOKUP($F125,$K$2:AI$8,U$1,"Falsch"),"")</f>
        <v/>
      </c>
      <c r="V125" s="16" t="str">
        <f>IF(AND(V$10&gt;=$D125,V$11&lt;=$E125),VLOOKUP($F125,$K$2:AJ$8,V$1,"Falsch"),"")</f>
        <v/>
      </c>
      <c r="W125" s="16" t="str">
        <f>IF(AND(W$10&gt;=$D125,W$11&lt;=$E125),VLOOKUP($F125,$K$2:AK$8,W$1,"Falsch"),"")</f>
        <v/>
      </c>
      <c r="X125" s="16" t="str">
        <f>IF(AND(X$10&gt;=$D125,X$11&lt;=$E125),VLOOKUP($F125,$K$2:AL$8,X$1,"Falsch"),"")</f>
        <v/>
      </c>
      <c r="Y125" s="16" t="str">
        <f>IF(AND(Y$10&gt;=$D125,Y$11&lt;=$E125),VLOOKUP($F125,$K$2:AM$8,Y$1,"Falsch"),"")</f>
        <v/>
      </c>
      <c r="Z125" s="16" t="str">
        <f>IF(AND(Z$10&gt;=$D125,Z$11&lt;=$E125),VLOOKUP($F125,$K$2:AN$8,Z$1,"Falsch"),"")</f>
        <v/>
      </c>
      <c r="AA125" s="16" t="str">
        <f>IF(AND(AA$10&gt;=$D125,AA$11&lt;=$E125),VLOOKUP($F125,$K$2:AO$8,AA$1,"Falsch"),"")</f>
        <v/>
      </c>
      <c r="AB125" s="16" t="str">
        <f>IF(AND(AB$10&gt;=$D125,AB$11&lt;=$E125),VLOOKUP($F125,$K$2:AP$8,AB$1,"Falsch"),"")</f>
        <v/>
      </c>
      <c r="AC125" s="16" t="str">
        <f>IF(AND(AC$10&gt;=$D125,AC$11&lt;=$E125),VLOOKUP($F125,$K$2:AQ$8,AC$1,"Falsch"),"")</f>
        <v/>
      </c>
      <c r="AD125" s="16" t="str">
        <f>IF(AND(AD$10&gt;=$D125,AD$11&lt;=$E125),VLOOKUP($F125,$K$2:AR$8,AD$1,"Falsch"),"")</f>
        <v/>
      </c>
    </row>
    <row r="126" spans="9:30" x14ac:dyDescent="0.25">
      <c r="I126" s="21">
        <f t="shared" si="31"/>
        <v>0</v>
      </c>
      <c r="K126" s="25">
        <f t="shared" si="32"/>
        <v>0</v>
      </c>
      <c r="L126" s="16" t="str">
        <f>IF(AND(L$10&gt;=$D126,L$11&lt;=$E126),VLOOKUP($F126,$K$2:Z$8,L$1,"Falsch"),"")</f>
        <v/>
      </c>
      <c r="M126" s="16" t="str">
        <f>IF(AND(M$10&gt;=$D126,M$11&lt;=$E126),VLOOKUP($F126,$K$2:AA$8,M$1,"Falsch"),"")</f>
        <v/>
      </c>
      <c r="N126" s="16" t="str">
        <f>IF(AND(N$10&gt;=$D126,N$11&lt;=$E126),VLOOKUP($F126,$K$2:AB$8,N$1,"Falsch"),"")</f>
        <v/>
      </c>
      <c r="O126" s="16" t="str">
        <f>IF(AND(O$10&gt;=$D126,O$11&lt;=$E126),VLOOKUP($F126,$K$2:AC$8,O$1,"Falsch"),"")</f>
        <v/>
      </c>
      <c r="P126" s="16" t="str">
        <f>IF(AND(P$10&gt;=$D126,P$11&lt;=$E126),VLOOKUP($F126,$K$2:AD$8,P$1,"Falsch"),"")</f>
        <v/>
      </c>
      <c r="Q126" s="16" t="str">
        <f>IF(AND(Q$10&gt;=$D126,Q$11&lt;=$E126),VLOOKUP($F126,$K$2:AE$8,Q$1,"Falsch"),"")</f>
        <v/>
      </c>
      <c r="R126" s="16" t="str">
        <f>IF(AND(R$10&gt;=$D126,R$11&lt;=$E126),VLOOKUP($F126,$K$2:AF$8,R$1,"Falsch"),"")</f>
        <v/>
      </c>
      <c r="S126" s="16" t="str">
        <f>IF(AND(S$10&gt;=$D126,S$11&lt;=$E126),VLOOKUP($F126,$K$2:AG$8,S$1,"Falsch"),"")</f>
        <v/>
      </c>
      <c r="T126" s="16" t="str">
        <f>IF(AND(T$10&gt;=$D126,T$11&lt;=$E126),VLOOKUP($F126,$K$2:AH$8,T$1,"Falsch"),"")</f>
        <v/>
      </c>
      <c r="U126" s="16" t="str">
        <f>IF(AND(U$10&gt;=$D126,U$11&lt;=$E126),VLOOKUP($F126,$K$2:AI$8,U$1,"Falsch"),"")</f>
        <v/>
      </c>
      <c r="V126" s="16" t="str">
        <f>IF(AND(V$10&gt;=$D126,V$11&lt;=$E126),VLOOKUP($F126,$K$2:AJ$8,V$1,"Falsch"),"")</f>
        <v/>
      </c>
      <c r="W126" s="16" t="str">
        <f>IF(AND(W$10&gt;=$D126,W$11&lt;=$E126),VLOOKUP($F126,$K$2:AK$8,W$1,"Falsch"),"")</f>
        <v/>
      </c>
      <c r="X126" s="16" t="str">
        <f>IF(AND(X$10&gt;=$D126,X$11&lt;=$E126),VLOOKUP($F126,$K$2:AL$8,X$1,"Falsch"),"")</f>
        <v/>
      </c>
      <c r="Y126" s="16" t="str">
        <f>IF(AND(Y$10&gt;=$D126,Y$11&lt;=$E126),VLOOKUP($F126,$K$2:AM$8,Y$1,"Falsch"),"")</f>
        <v/>
      </c>
      <c r="Z126" s="16" t="str">
        <f>IF(AND(Z$10&gt;=$D126,Z$11&lt;=$E126),VLOOKUP($F126,$K$2:AN$8,Z$1,"Falsch"),"")</f>
        <v/>
      </c>
      <c r="AA126" s="16" t="str">
        <f>IF(AND(AA$10&gt;=$D126,AA$11&lt;=$E126),VLOOKUP($F126,$K$2:AO$8,AA$1,"Falsch"),"")</f>
        <v/>
      </c>
      <c r="AB126" s="16" t="str">
        <f>IF(AND(AB$10&gt;=$D126,AB$11&lt;=$E126),VLOOKUP($F126,$K$2:AP$8,AB$1,"Falsch"),"")</f>
        <v/>
      </c>
      <c r="AC126" s="16" t="str">
        <f>IF(AND(AC$10&gt;=$D126,AC$11&lt;=$E126),VLOOKUP($F126,$K$2:AQ$8,AC$1,"Falsch"),"")</f>
        <v/>
      </c>
      <c r="AD126" s="16" t="str">
        <f>IF(AND(AD$10&gt;=$D126,AD$11&lt;=$E126),VLOOKUP($F126,$K$2:AR$8,AD$1,"Falsch"),"")</f>
        <v/>
      </c>
    </row>
    <row r="127" spans="9:30" x14ac:dyDescent="0.25">
      <c r="I127" s="21">
        <f t="shared" si="31"/>
        <v>0</v>
      </c>
      <c r="K127" s="25">
        <f t="shared" si="32"/>
        <v>0</v>
      </c>
      <c r="L127" s="16" t="str">
        <f>IF(AND(L$10&gt;=$D127,L$11&lt;=$E127),VLOOKUP($F127,$K$2:Z$8,L$1,"Falsch"),"")</f>
        <v/>
      </c>
      <c r="M127" s="16" t="str">
        <f>IF(AND(M$10&gt;=$D127,M$11&lt;=$E127),VLOOKUP($F127,$K$2:AA$8,M$1,"Falsch"),"")</f>
        <v/>
      </c>
      <c r="N127" s="16" t="str">
        <f>IF(AND(N$10&gt;=$D127,N$11&lt;=$E127),VLOOKUP($F127,$K$2:AB$8,N$1,"Falsch"),"")</f>
        <v/>
      </c>
      <c r="O127" s="16" t="str">
        <f>IF(AND(O$10&gt;=$D127,O$11&lt;=$E127),VLOOKUP($F127,$K$2:AC$8,O$1,"Falsch"),"")</f>
        <v/>
      </c>
      <c r="P127" s="16" t="str">
        <f>IF(AND(P$10&gt;=$D127,P$11&lt;=$E127),VLOOKUP($F127,$K$2:AD$8,P$1,"Falsch"),"")</f>
        <v/>
      </c>
      <c r="Q127" s="16" t="str">
        <f>IF(AND(Q$10&gt;=$D127,Q$11&lt;=$E127),VLOOKUP($F127,$K$2:AE$8,Q$1,"Falsch"),"")</f>
        <v/>
      </c>
      <c r="R127" s="16" t="str">
        <f>IF(AND(R$10&gt;=$D127,R$11&lt;=$E127),VLOOKUP($F127,$K$2:AF$8,R$1,"Falsch"),"")</f>
        <v/>
      </c>
      <c r="S127" s="16" t="str">
        <f>IF(AND(S$10&gt;=$D127,S$11&lt;=$E127),VLOOKUP($F127,$K$2:AG$8,S$1,"Falsch"),"")</f>
        <v/>
      </c>
      <c r="T127" s="16" t="str">
        <f>IF(AND(T$10&gt;=$D127,T$11&lt;=$E127),VLOOKUP($F127,$K$2:AH$8,T$1,"Falsch"),"")</f>
        <v/>
      </c>
      <c r="U127" s="16" t="str">
        <f>IF(AND(U$10&gt;=$D127,U$11&lt;=$E127),VLOOKUP($F127,$K$2:AI$8,U$1,"Falsch"),"")</f>
        <v/>
      </c>
      <c r="V127" s="16" t="str">
        <f>IF(AND(V$10&gt;=$D127,V$11&lt;=$E127),VLOOKUP($F127,$K$2:AJ$8,V$1,"Falsch"),"")</f>
        <v/>
      </c>
      <c r="W127" s="16" t="str">
        <f>IF(AND(W$10&gt;=$D127,W$11&lt;=$E127),VLOOKUP($F127,$K$2:AK$8,W$1,"Falsch"),"")</f>
        <v/>
      </c>
      <c r="X127" s="16" t="str">
        <f>IF(AND(X$10&gt;=$D127,X$11&lt;=$E127),VLOOKUP($F127,$K$2:AL$8,X$1,"Falsch"),"")</f>
        <v/>
      </c>
      <c r="Y127" s="16" t="str">
        <f>IF(AND(Y$10&gt;=$D127,Y$11&lt;=$E127),VLOOKUP($F127,$K$2:AM$8,Y$1,"Falsch"),"")</f>
        <v/>
      </c>
      <c r="Z127" s="16" t="str">
        <f>IF(AND(Z$10&gt;=$D127,Z$11&lt;=$E127),VLOOKUP($F127,$K$2:AN$8,Z$1,"Falsch"),"")</f>
        <v/>
      </c>
      <c r="AA127" s="16" t="str">
        <f>IF(AND(AA$10&gt;=$D127,AA$11&lt;=$E127),VLOOKUP($F127,$K$2:AO$8,AA$1,"Falsch"),"")</f>
        <v/>
      </c>
      <c r="AB127" s="16" t="str">
        <f>IF(AND(AB$10&gt;=$D127,AB$11&lt;=$E127),VLOOKUP($F127,$K$2:AP$8,AB$1,"Falsch"),"")</f>
        <v/>
      </c>
      <c r="AC127" s="16" t="str">
        <f>IF(AND(AC$10&gt;=$D127,AC$11&lt;=$E127),VLOOKUP($F127,$K$2:AQ$8,AC$1,"Falsch"),"")</f>
        <v/>
      </c>
      <c r="AD127" s="16" t="str">
        <f>IF(AND(AD$10&gt;=$D127,AD$11&lt;=$E127),VLOOKUP($F127,$K$2:AR$8,AD$1,"Falsch"),"")</f>
        <v/>
      </c>
    </row>
    <row r="128" spans="9:30" x14ac:dyDescent="0.25">
      <c r="I128" s="21">
        <f t="shared" si="31"/>
        <v>0</v>
      </c>
      <c r="K128" s="25">
        <f t="shared" si="32"/>
        <v>0</v>
      </c>
      <c r="L128" s="16" t="str">
        <f>IF(AND(L$10&gt;=$D128,L$11&lt;=$E128),VLOOKUP($F128,$K$2:Z$8,L$1,"Falsch"),"")</f>
        <v/>
      </c>
      <c r="M128" s="16" t="str">
        <f>IF(AND(M$10&gt;=$D128,M$11&lt;=$E128),VLOOKUP($F128,$K$2:AA$8,M$1,"Falsch"),"")</f>
        <v/>
      </c>
      <c r="N128" s="16" t="str">
        <f>IF(AND(N$10&gt;=$D128,N$11&lt;=$E128),VLOOKUP($F128,$K$2:AB$8,N$1,"Falsch"),"")</f>
        <v/>
      </c>
      <c r="O128" s="16" t="str">
        <f>IF(AND(O$10&gt;=$D128,O$11&lt;=$E128),VLOOKUP($F128,$K$2:AC$8,O$1,"Falsch"),"")</f>
        <v/>
      </c>
      <c r="P128" s="16" t="str">
        <f>IF(AND(P$10&gt;=$D128,P$11&lt;=$E128),VLOOKUP($F128,$K$2:AD$8,P$1,"Falsch"),"")</f>
        <v/>
      </c>
      <c r="Q128" s="16" t="str">
        <f>IF(AND(Q$10&gt;=$D128,Q$11&lt;=$E128),VLOOKUP($F128,$K$2:AE$8,Q$1,"Falsch"),"")</f>
        <v/>
      </c>
      <c r="R128" s="16" t="str">
        <f>IF(AND(R$10&gt;=$D128,R$11&lt;=$E128),VLOOKUP($F128,$K$2:AF$8,R$1,"Falsch"),"")</f>
        <v/>
      </c>
      <c r="S128" s="16" t="str">
        <f>IF(AND(S$10&gt;=$D128,S$11&lt;=$E128),VLOOKUP($F128,$K$2:AG$8,S$1,"Falsch"),"")</f>
        <v/>
      </c>
      <c r="T128" s="16" t="str">
        <f>IF(AND(T$10&gt;=$D128,T$11&lt;=$E128),VLOOKUP($F128,$K$2:AH$8,T$1,"Falsch"),"")</f>
        <v/>
      </c>
      <c r="U128" s="16" t="str">
        <f>IF(AND(U$10&gt;=$D128,U$11&lt;=$E128),VLOOKUP($F128,$K$2:AI$8,U$1,"Falsch"),"")</f>
        <v/>
      </c>
      <c r="V128" s="16" t="str">
        <f>IF(AND(V$10&gt;=$D128,V$11&lt;=$E128),VLOOKUP($F128,$K$2:AJ$8,V$1,"Falsch"),"")</f>
        <v/>
      </c>
      <c r="W128" s="16" t="str">
        <f>IF(AND(W$10&gt;=$D128,W$11&lt;=$E128),VLOOKUP($F128,$K$2:AK$8,W$1,"Falsch"),"")</f>
        <v/>
      </c>
      <c r="X128" s="16" t="str">
        <f>IF(AND(X$10&gt;=$D128,X$11&lt;=$E128),VLOOKUP($F128,$K$2:AL$8,X$1,"Falsch"),"")</f>
        <v/>
      </c>
      <c r="Y128" s="16" t="str">
        <f>IF(AND(Y$10&gt;=$D128,Y$11&lt;=$E128),VLOOKUP($F128,$K$2:AM$8,Y$1,"Falsch"),"")</f>
        <v/>
      </c>
      <c r="Z128" s="16" t="str">
        <f>IF(AND(Z$10&gt;=$D128,Z$11&lt;=$E128),VLOOKUP($F128,$K$2:AN$8,Z$1,"Falsch"),"")</f>
        <v/>
      </c>
      <c r="AA128" s="16" t="str">
        <f>IF(AND(AA$10&gt;=$D128,AA$11&lt;=$E128),VLOOKUP($F128,$K$2:AO$8,AA$1,"Falsch"),"")</f>
        <v/>
      </c>
      <c r="AB128" s="16" t="str">
        <f>IF(AND(AB$10&gt;=$D128,AB$11&lt;=$E128),VLOOKUP($F128,$K$2:AP$8,AB$1,"Falsch"),"")</f>
        <v/>
      </c>
      <c r="AC128" s="16" t="str">
        <f>IF(AND(AC$10&gt;=$D128,AC$11&lt;=$E128),VLOOKUP($F128,$K$2:AQ$8,AC$1,"Falsch"),"")</f>
        <v/>
      </c>
      <c r="AD128" s="16" t="str">
        <f>IF(AND(AD$10&gt;=$D128,AD$11&lt;=$E128),VLOOKUP($F128,$K$2:AR$8,AD$1,"Falsch"),"")</f>
        <v/>
      </c>
    </row>
    <row r="129" spans="9:30" x14ac:dyDescent="0.25">
      <c r="I129" s="21">
        <f t="shared" si="31"/>
        <v>0</v>
      </c>
      <c r="K129" s="25">
        <f t="shared" si="32"/>
        <v>0</v>
      </c>
      <c r="L129" s="16" t="str">
        <f>IF(AND(L$10&gt;=$D129,L$11&lt;=$E129),VLOOKUP($F129,$K$2:Z$8,L$1,"Falsch"),"")</f>
        <v/>
      </c>
      <c r="M129" s="16" t="str">
        <f>IF(AND(M$10&gt;=$D129,M$11&lt;=$E129),VLOOKUP($F129,$K$2:AA$8,M$1,"Falsch"),"")</f>
        <v/>
      </c>
      <c r="N129" s="16" t="str">
        <f>IF(AND(N$10&gt;=$D129,N$11&lt;=$E129),VLOOKUP($F129,$K$2:AB$8,N$1,"Falsch"),"")</f>
        <v/>
      </c>
      <c r="O129" s="16" t="str">
        <f>IF(AND(O$10&gt;=$D129,O$11&lt;=$E129),VLOOKUP($F129,$K$2:AC$8,O$1,"Falsch"),"")</f>
        <v/>
      </c>
      <c r="P129" s="16" t="str">
        <f>IF(AND(P$10&gt;=$D129,P$11&lt;=$E129),VLOOKUP($F129,$K$2:AD$8,P$1,"Falsch"),"")</f>
        <v/>
      </c>
      <c r="Q129" s="16" t="str">
        <f>IF(AND(Q$10&gt;=$D129,Q$11&lt;=$E129),VLOOKUP($F129,$K$2:AE$8,Q$1,"Falsch"),"")</f>
        <v/>
      </c>
      <c r="R129" s="16" t="str">
        <f>IF(AND(R$10&gt;=$D129,R$11&lt;=$E129),VLOOKUP($F129,$K$2:AF$8,R$1,"Falsch"),"")</f>
        <v/>
      </c>
      <c r="S129" s="16" t="str">
        <f>IF(AND(S$10&gt;=$D129,S$11&lt;=$E129),VLOOKUP($F129,$K$2:AG$8,S$1,"Falsch"),"")</f>
        <v/>
      </c>
      <c r="T129" s="16" t="str">
        <f>IF(AND(T$10&gt;=$D129,T$11&lt;=$E129),VLOOKUP($F129,$K$2:AH$8,T$1,"Falsch"),"")</f>
        <v/>
      </c>
      <c r="U129" s="16" t="str">
        <f>IF(AND(U$10&gt;=$D129,U$11&lt;=$E129),VLOOKUP($F129,$K$2:AI$8,U$1,"Falsch"),"")</f>
        <v/>
      </c>
      <c r="V129" s="16" t="str">
        <f>IF(AND(V$10&gt;=$D129,V$11&lt;=$E129),VLOOKUP($F129,$K$2:AJ$8,V$1,"Falsch"),"")</f>
        <v/>
      </c>
      <c r="W129" s="16" t="str">
        <f>IF(AND(W$10&gt;=$D129,W$11&lt;=$E129),VLOOKUP($F129,$K$2:AK$8,W$1,"Falsch"),"")</f>
        <v/>
      </c>
      <c r="X129" s="16" t="str">
        <f>IF(AND(X$10&gt;=$D129,X$11&lt;=$E129),VLOOKUP($F129,$K$2:AL$8,X$1,"Falsch"),"")</f>
        <v/>
      </c>
      <c r="Y129" s="16" t="str">
        <f>IF(AND(Y$10&gt;=$D129,Y$11&lt;=$E129),VLOOKUP($F129,$K$2:AM$8,Y$1,"Falsch"),"")</f>
        <v/>
      </c>
      <c r="Z129" s="16" t="str">
        <f>IF(AND(Z$10&gt;=$D129,Z$11&lt;=$E129),VLOOKUP($F129,$K$2:AN$8,Z$1,"Falsch"),"")</f>
        <v/>
      </c>
      <c r="AA129" s="16" t="str">
        <f>IF(AND(AA$10&gt;=$D129,AA$11&lt;=$E129),VLOOKUP($F129,$K$2:AO$8,AA$1,"Falsch"),"")</f>
        <v/>
      </c>
      <c r="AB129" s="16" t="str">
        <f>IF(AND(AB$10&gt;=$D129,AB$11&lt;=$E129),VLOOKUP($F129,$K$2:AP$8,AB$1,"Falsch"),"")</f>
        <v/>
      </c>
      <c r="AC129" s="16" t="str">
        <f>IF(AND(AC$10&gt;=$D129,AC$11&lt;=$E129),VLOOKUP($F129,$K$2:AQ$8,AC$1,"Falsch"),"")</f>
        <v/>
      </c>
      <c r="AD129" s="16" t="str">
        <f>IF(AND(AD$10&gt;=$D129,AD$11&lt;=$E129),VLOOKUP($F129,$K$2:AR$8,AD$1,"Falsch"),"")</f>
        <v/>
      </c>
    </row>
    <row r="130" spans="9:30" x14ac:dyDescent="0.25">
      <c r="I130" s="21">
        <f t="shared" si="31"/>
        <v>0</v>
      </c>
      <c r="K130" s="25">
        <f t="shared" si="32"/>
        <v>0</v>
      </c>
      <c r="L130" s="16" t="str">
        <f>IF(AND(L$10&gt;=$D130,L$11&lt;=$E130),VLOOKUP($F130,$K$2:Z$8,L$1,"Falsch"),"")</f>
        <v/>
      </c>
      <c r="M130" s="16" t="str">
        <f>IF(AND(M$10&gt;=$D130,M$11&lt;=$E130),VLOOKUP($F130,$K$2:AA$8,M$1,"Falsch"),"")</f>
        <v/>
      </c>
      <c r="N130" s="16" t="str">
        <f>IF(AND(N$10&gt;=$D130,N$11&lt;=$E130),VLOOKUP($F130,$K$2:AB$8,N$1,"Falsch"),"")</f>
        <v/>
      </c>
      <c r="O130" s="16" t="str">
        <f>IF(AND(O$10&gt;=$D130,O$11&lt;=$E130),VLOOKUP($F130,$K$2:AC$8,O$1,"Falsch"),"")</f>
        <v/>
      </c>
      <c r="P130" s="16" t="str">
        <f>IF(AND(P$10&gt;=$D130,P$11&lt;=$E130),VLOOKUP($F130,$K$2:AD$8,P$1,"Falsch"),"")</f>
        <v/>
      </c>
      <c r="Q130" s="16" t="str">
        <f>IF(AND(Q$10&gt;=$D130,Q$11&lt;=$E130),VLOOKUP($F130,$K$2:AE$8,Q$1,"Falsch"),"")</f>
        <v/>
      </c>
      <c r="R130" s="16" t="str">
        <f>IF(AND(R$10&gt;=$D130,R$11&lt;=$E130),VLOOKUP($F130,$K$2:AF$8,R$1,"Falsch"),"")</f>
        <v/>
      </c>
      <c r="S130" s="16" t="str">
        <f>IF(AND(S$10&gt;=$D130,S$11&lt;=$E130),VLOOKUP($F130,$K$2:AG$8,S$1,"Falsch"),"")</f>
        <v/>
      </c>
      <c r="T130" s="16" t="str">
        <f>IF(AND(T$10&gt;=$D130,T$11&lt;=$E130),VLOOKUP($F130,$K$2:AH$8,T$1,"Falsch"),"")</f>
        <v/>
      </c>
      <c r="U130" s="16" t="str">
        <f>IF(AND(U$10&gt;=$D130,U$11&lt;=$E130),VLOOKUP($F130,$K$2:AI$8,U$1,"Falsch"),"")</f>
        <v/>
      </c>
      <c r="V130" s="16" t="str">
        <f>IF(AND(V$10&gt;=$D130,V$11&lt;=$E130),VLOOKUP($F130,$K$2:AJ$8,V$1,"Falsch"),"")</f>
        <v/>
      </c>
      <c r="W130" s="16" t="str">
        <f>IF(AND(W$10&gt;=$D130,W$11&lt;=$E130),VLOOKUP($F130,$K$2:AK$8,W$1,"Falsch"),"")</f>
        <v/>
      </c>
      <c r="X130" s="16" t="str">
        <f>IF(AND(X$10&gt;=$D130,X$11&lt;=$E130),VLOOKUP($F130,$K$2:AL$8,X$1,"Falsch"),"")</f>
        <v/>
      </c>
      <c r="Y130" s="16" t="str">
        <f>IF(AND(Y$10&gt;=$D130,Y$11&lt;=$E130),VLOOKUP($F130,$K$2:AM$8,Y$1,"Falsch"),"")</f>
        <v/>
      </c>
      <c r="Z130" s="16" t="str">
        <f>IF(AND(Z$10&gt;=$D130,Z$11&lt;=$E130),VLOOKUP($F130,$K$2:AN$8,Z$1,"Falsch"),"")</f>
        <v/>
      </c>
      <c r="AA130" s="16" t="str">
        <f>IF(AND(AA$10&gt;=$D130,AA$11&lt;=$E130),VLOOKUP($F130,$K$2:AO$8,AA$1,"Falsch"),"")</f>
        <v/>
      </c>
      <c r="AB130" s="16" t="str">
        <f>IF(AND(AB$10&gt;=$D130,AB$11&lt;=$E130),VLOOKUP($F130,$K$2:AP$8,AB$1,"Falsch"),"")</f>
        <v/>
      </c>
      <c r="AC130" s="16" t="str">
        <f>IF(AND(AC$10&gt;=$D130,AC$11&lt;=$E130),VLOOKUP($F130,$K$2:AQ$8,AC$1,"Falsch"),"")</f>
        <v/>
      </c>
      <c r="AD130" s="16" t="str">
        <f>IF(AND(AD$10&gt;=$D130,AD$11&lt;=$E130),VLOOKUP($F130,$K$2:AR$8,AD$1,"Falsch"),"")</f>
        <v/>
      </c>
    </row>
    <row r="131" spans="9:30" x14ac:dyDescent="0.25">
      <c r="I131" s="21">
        <f t="shared" si="31"/>
        <v>0</v>
      </c>
      <c r="K131" s="25">
        <f t="shared" si="32"/>
        <v>0</v>
      </c>
      <c r="L131" s="16" t="str">
        <f>IF(AND(L$10&gt;=$D131,L$11&lt;=$E131),VLOOKUP($F131,$K$2:Z$8,L$1,"Falsch"),"")</f>
        <v/>
      </c>
      <c r="M131" s="16" t="str">
        <f>IF(AND(M$10&gt;=$D131,M$11&lt;=$E131),VLOOKUP($F131,$K$2:AA$8,M$1,"Falsch"),"")</f>
        <v/>
      </c>
      <c r="N131" s="16" t="str">
        <f>IF(AND(N$10&gt;=$D131,N$11&lt;=$E131),VLOOKUP($F131,$K$2:AB$8,N$1,"Falsch"),"")</f>
        <v/>
      </c>
      <c r="O131" s="16" t="str">
        <f>IF(AND(O$10&gt;=$D131,O$11&lt;=$E131),VLOOKUP($F131,$K$2:AC$8,O$1,"Falsch"),"")</f>
        <v/>
      </c>
      <c r="P131" s="16" t="str">
        <f>IF(AND(P$10&gt;=$D131,P$11&lt;=$E131),VLOOKUP($F131,$K$2:AD$8,P$1,"Falsch"),"")</f>
        <v/>
      </c>
      <c r="Q131" s="16" t="str">
        <f>IF(AND(Q$10&gt;=$D131,Q$11&lt;=$E131),VLOOKUP($F131,$K$2:AE$8,Q$1,"Falsch"),"")</f>
        <v/>
      </c>
      <c r="R131" s="16" t="str">
        <f>IF(AND(R$10&gt;=$D131,R$11&lt;=$E131),VLOOKUP($F131,$K$2:AF$8,R$1,"Falsch"),"")</f>
        <v/>
      </c>
      <c r="S131" s="16" t="str">
        <f>IF(AND(S$10&gt;=$D131,S$11&lt;=$E131),VLOOKUP($F131,$K$2:AG$8,S$1,"Falsch"),"")</f>
        <v/>
      </c>
      <c r="T131" s="16" t="str">
        <f>IF(AND(T$10&gt;=$D131,T$11&lt;=$E131),VLOOKUP($F131,$K$2:AH$8,T$1,"Falsch"),"")</f>
        <v/>
      </c>
      <c r="U131" s="16" t="str">
        <f>IF(AND(U$10&gt;=$D131,U$11&lt;=$E131),VLOOKUP($F131,$K$2:AI$8,U$1,"Falsch"),"")</f>
        <v/>
      </c>
      <c r="V131" s="16" t="str">
        <f>IF(AND(V$10&gt;=$D131,V$11&lt;=$E131),VLOOKUP($F131,$K$2:AJ$8,V$1,"Falsch"),"")</f>
        <v/>
      </c>
      <c r="W131" s="16" t="str">
        <f>IF(AND(W$10&gt;=$D131,W$11&lt;=$E131),VLOOKUP($F131,$K$2:AK$8,W$1,"Falsch"),"")</f>
        <v/>
      </c>
      <c r="X131" s="16" t="str">
        <f>IF(AND(X$10&gt;=$D131,X$11&lt;=$E131),VLOOKUP($F131,$K$2:AL$8,X$1,"Falsch"),"")</f>
        <v/>
      </c>
      <c r="Y131" s="16" t="str">
        <f>IF(AND(Y$10&gt;=$D131,Y$11&lt;=$E131),VLOOKUP($F131,$K$2:AM$8,Y$1,"Falsch"),"")</f>
        <v/>
      </c>
      <c r="Z131" s="16" t="str">
        <f>IF(AND(Z$10&gt;=$D131,Z$11&lt;=$E131),VLOOKUP($F131,$K$2:AN$8,Z$1,"Falsch"),"")</f>
        <v/>
      </c>
      <c r="AA131" s="16" t="str">
        <f>IF(AND(AA$10&gt;=$D131,AA$11&lt;=$E131),VLOOKUP($F131,$K$2:AO$8,AA$1,"Falsch"),"")</f>
        <v/>
      </c>
      <c r="AB131" s="16" t="str">
        <f>IF(AND(AB$10&gt;=$D131,AB$11&lt;=$E131),VLOOKUP($F131,$K$2:AP$8,AB$1,"Falsch"),"")</f>
        <v/>
      </c>
      <c r="AC131" s="16" t="str">
        <f>IF(AND(AC$10&gt;=$D131,AC$11&lt;=$E131),VLOOKUP($F131,$K$2:AQ$8,AC$1,"Falsch"),"")</f>
        <v/>
      </c>
      <c r="AD131" s="16" t="str">
        <f>IF(AND(AD$10&gt;=$D131,AD$11&lt;=$E131),VLOOKUP($F131,$K$2:AR$8,AD$1,"Falsch"),"")</f>
        <v/>
      </c>
    </row>
    <row r="132" spans="9:30" x14ac:dyDescent="0.25">
      <c r="I132" s="21">
        <f t="shared" si="31"/>
        <v>0</v>
      </c>
      <c r="K132" s="25">
        <f t="shared" si="32"/>
        <v>0</v>
      </c>
      <c r="L132" s="16" t="str">
        <f>IF(AND(L$10&gt;=$D132,L$11&lt;=$E132),VLOOKUP($F132,$K$2:Z$8,L$1,"Falsch"),"")</f>
        <v/>
      </c>
      <c r="M132" s="16" t="str">
        <f>IF(AND(M$10&gt;=$D132,M$11&lt;=$E132),VLOOKUP($F132,$K$2:AA$8,M$1,"Falsch"),"")</f>
        <v/>
      </c>
      <c r="N132" s="16" t="str">
        <f>IF(AND(N$10&gt;=$D132,N$11&lt;=$E132),VLOOKUP($F132,$K$2:AB$8,N$1,"Falsch"),"")</f>
        <v/>
      </c>
      <c r="O132" s="16" t="str">
        <f>IF(AND(O$10&gt;=$D132,O$11&lt;=$E132),VLOOKUP($F132,$K$2:AC$8,O$1,"Falsch"),"")</f>
        <v/>
      </c>
      <c r="P132" s="16" t="str">
        <f>IF(AND(P$10&gt;=$D132,P$11&lt;=$E132),VLOOKUP($F132,$K$2:AD$8,P$1,"Falsch"),"")</f>
        <v/>
      </c>
      <c r="Q132" s="16" t="str">
        <f>IF(AND(Q$10&gt;=$D132,Q$11&lt;=$E132),VLOOKUP($F132,$K$2:AE$8,Q$1,"Falsch"),"")</f>
        <v/>
      </c>
      <c r="R132" s="16" t="str">
        <f>IF(AND(R$10&gt;=$D132,R$11&lt;=$E132),VLOOKUP($F132,$K$2:AF$8,R$1,"Falsch"),"")</f>
        <v/>
      </c>
      <c r="S132" s="16" t="str">
        <f>IF(AND(S$10&gt;=$D132,S$11&lt;=$E132),VLOOKUP($F132,$K$2:AG$8,S$1,"Falsch"),"")</f>
        <v/>
      </c>
      <c r="T132" s="16" t="str">
        <f>IF(AND(T$10&gt;=$D132,T$11&lt;=$E132),VLOOKUP($F132,$K$2:AH$8,T$1,"Falsch"),"")</f>
        <v/>
      </c>
      <c r="U132" s="16" t="str">
        <f>IF(AND(U$10&gt;=$D132,U$11&lt;=$E132),VLOOKUP($F132,$K$2:AI$8,U$1,"Falsch"),"")</f>
        <v/>
      </c>
      <c r="V132" s="16" t="str">
        <f>IF(AND(V$10&gt;=$D132,V$11&lt;=$E132),VLOOKUP($F132,$K$2:AJ$8,V$1,"Falsch"),"")</f>
        <v/>
      </c>
      <c r="W132" s="16" t="str">
        <f>IF(AND(W$10&gt;=$D132,W$11&lt;=$E132),VLOOKUP($F132,$K$2:AK$8,W$1,"Falsch"),"")</f>
        <v/>
      </c>
      <c r="X132" s="16" t="str">
        <f>IF(AND(X$10&gt;=$D132,X$11&lt;=$E132),VLOOKUP($F132,$K$2:AL$8,X$1,"Falsch"),"")</f>
        <v/>
      </c>
      <c r="Y132" s="16" t="str">
        <f>IF(AND(Y$10&gt;=$D132,Y$11&lt;=$E132),VLOOKUP($F132,$K$2:AM$8,Y$1,"Falsch"),"")</f>
        <v/>
      </c>
      <c r="Z132" s="16" t="str">
        <f>IF(AND(Z$10&gt;=$D132,Z$11&lt;=$E132),VLOOKUP($F132,$K$2:AN$8,Z$1,"Falsch"),"")</f>
        <v/>
      </c>
      <c r="AA132" s="16" t="str">
        <f>IF(AND(AA$10&gt;=$D132,AA$11&lt;=$E132),VLOOKUP($F132,$K$2:AO$8,AA$1,"Falsch"),"")</f>
        <v/>
      </c>
      <c r="AB132" s="16" t="str">
        <f>IF(AND(AB$10&gt;=$D132,AB$11&lt;=$E132),VLOOKUP($F132,$K$2:AP$8,AB$1,"Falsch"),"")</f>
        <v/>
      </c>
      <c r="AC132" s="16" t="str">
        <f>IF(AND(AC$10&gt;=$D132,AC$11&lt;=$E132),VLOOKUP($F132,$K$2:AQ$8,AC$1,"Falsch"),"")</f>
        <v/>
      </c>
      <c r="AD132" s="16" t="str">
        <f>IF(AND(AD$10&gt;=$D132,AD$11&lt;=$E132),VLOOKUP($F132,$K$2:AR$8,AD$1,"Falsch"),"")</f>
        <v/>
      </c>
    </row>
    <row r="133" spans="9:30" x14ac:dyDescent="0.25">
      <c r="I133" s="21">
        <f t="shared" si="31"/>
        <v>0</v>
      </c>
      <c r="K133" s="25">
        <f t="shared" si="32"/>
        <v>0</v>
      </c>
      <c r="L133" s="16" t="str">
        <f>IF(AND(L$10&gt;=$D133,L$11&lt;=$E133),VLOOKUP($F133,$K$2:Z$8,L$1,"Falsch"),"")</f>
        <v/>
      </c>
      <c r="M133" s="16" t="str">
        <f>IF(AND(M$10&gt;=$D133,M$11&lt;=$E133),VLOOKUP($F133,$K$2:AA$8,M$1,"Falsch"),"")</f>
        <v/>
      </c>
      <c r="N133" s="16" t="str">
        <f>IF(AND(N$10&gt;=$D133,N$11&lt;=$E133),VLOOKUP($F133,$K$2:AB$8,N$1,"Falsch"),"")</f>
        <v/>
      </c>
      <c r="O133" s="16" t="str">
        <f>IF(AND(O$10&gt;=$D133,O$11&lt;=$E133),VLOOKUP($F133,$K$2:AC$8,O$1,"Falsch"),"")</f>
        <v/>
      </c>
      <c r="P133" s="16" t="str">
        <f>IF(AND(P$10&gt;=$D133,P$11&lt;=$E133),VLOOKUP($F133,$K$2:AD$8,P$1,"Falsch"),"")</f>
        <v/>
      </c>
      <c r="Q133" s="16" t="str">
        <f>IF(AND(Q$10&gt;=$D133,Q$11&lt;=$E133),VLOOKUP($F133,$K$2:AE$8,Q$1,"Falsch"),"")</f>
        <v/>
      </c>
      <c r="R133" s="16" t="str">
        <f>IF(AND(R$10&gt;=$D133,R$11&lt;=$E133),VLOOKUP($F133,$K$2:AF$8,R$1,"Falsch"),"")</f>
        <v/>
      </c>
      <c r="S133" s="16" t="str">
        <f>IF(AND(S$10&gt;=$D133,S$11&lt;=$E133),VLOOKUP($F133,$K$2:AG$8,S$1,"Falsch"),"")</f>
        <v/>
      </c>
      <c r="T133" s="16" t="str">
        <f>IF(AND(T$10&gt;=$D133,T$11&lt;=$E133),VLOOKUP($F133,$K$2:AH$8,T$1,"Falsch"),"")</f>
        <v/>
      </c>
      <c r="U133" s="16" t="str">
        <f>IF(AND(U$10&gt;=$D133,U$11&lt;=$E133),VLOOKUP($F133,$K$2:AI$8,U$1,"Falsch"),"")</f>
        <v/>
      </c>
      <c r="V133" s="16" t="str">
        <f>IF(AND(V$10&gt;=$D133,V$11&lt;=$E133),VLOOKUP($F133,$K$2:AJ$8,V$1,"Falsch"),"")</f>
        <v/>
      </c>
      <c r="W133" s="16" t="str">
        <f>IF(AND(W$10&gt;=$D133,W$11&lt;=$E133),VLOOKUP($F133,$K$2:AK$8,W$1,"Falsch"),"")</f>
        <v/>
      </c>
      <c r="X133" s="16" t="str">
        <f>IF(AND(X$10&gt;=$D133,X$11&lt;=$E133),VLOOKUP($F133,$K$2:AL$8,X$1,"Falsch"),"")</f>
        <v/>
      </c>
      <c r="Y133" s="16" t="str">
        <f>IF(AND(Y$10&gt;=$D133,Y$11&lt;=$E133),VLOOKUP($F133,$K$2:AM$8,Y$1,"Falsch"),"")</f>
        <v/>
      </c>
      <c r="Z133" s="16" t="str">
        <f>IF(AND(Z$10&gt;=$D133,Z$11&lt;=$E133),VLOOKUP($F133,$K$2:AN$8,Z$1,"Falsch"),"")</f>
        <v/>
      </c>
      <c r="AA133" s="16" t="str">
        <f>IF(AND(AA$10&gt;=$D133,AA$11&lt;=$E133),VLOOKUP($F133,$K$2:AO$8,AA$1,"Falsch"),"")</f>
        <v/>
      </c>
      <c r="AB133" s="16" t="str">
        <f>IF(AND(AB$10&gt;=$D133,AB$11&lt;=$E133),VLOOKUP($F133,$K$2:AP$8,AB$1,"Falsch"),"")</f>
        <v/>
      </c>
      <c r="AC133" s="16" t="str">
        <f>IF(AND(AC$10&gt;=$D133,AC$11&lt;=$E133),VLOOKUP($F133,$K$2:AQ$8,AC$1,"Falsch"),"")</f>
        <v/>
      </c>
      <c r="AD133" s="16" t="str">
        <f>IF(AND(AD$10&gt;=$D133,AD$11&lt;=$E133),VLOOKUP($F133,$K$2:AR$8,AD$1,"Falsch"),"")</f>
        <v/>
      </c>
    </row>
    <row r="134" spans="9:30" x14ac:dyDescent="0.25">
      <c r="I134" s="21">
        <f t="shared" si="31"/>
        <v>0</v>
      </c>
      <c r="K134" s="25">
        <f t="shared" si="32"/>
        <v>0</v>
      </c>
      <c r="L134" s="16" t="str">
        <f>IF(AND(L$10&gt;=$D134,L$11&lt;=$E134),VLOOKUP($F134,$K$2:Z$8,L$1,"Falsch"),"")</f>
        <v/>
      </c>
      <c r="M134" s="16" t="str">
        <f>IF(AND(M$10&gt;=$D134,M$11&lt;=$E134),VLOOKUP($F134,$K$2:AA$8,M$1,"Falsch"),"")</f>
        <v/>
      </c>
      <c r="N134" s="16" t="str">
        <f>IF(AND(N$10&gt;=$D134,N$11&lt;=$E134),VLOOKUP($F134,$K$2:AB$8,N$1,"Falsch"),"")</f>
        <v/>
      </c>
      <c r="O134" s="16" t="str">
        <f>IF(AND(O$10&gt;=$D134,O$11&lt;=$E134),VLOOKUP($F134,$K$2:AC$8,O$1,"Falsch"),"")</f>
        <v/>
      </c>
      <c r="P134" s="16" t="str">
        <f>IF(AND(P$10&gt;=$D134,P$11&lt;=$E134),VLOOKUP($F134,$K$2:AD$8,P$1,"Falsch"),"")</f>
        <v/>
      </c>
      <c r="Q134" s="16" t="str">
        <f>IF(AND(Q$10&gt;=$D134,Q$11&lt;=$E134),VLOOKUP($F134,$K$2:AE$8,Q$1,"Falsch"),"")</f>
        <v/>
      </c>
      <c r="R134" s="16" t="str">
        <f>IF(AND(R$10&gt;=$D134,R$11&lt;=$E134),VLOOKUP($F134,$K$2:AF$8,R$1,"Falsch"),"")</f>
        <v/>
      </c>
      <c r="S134" s="16" t="str">
        <f>IF(AND(S$10&gt;=$D134,S$11&lt;=$E134),VLOOKUP($F134,$K$2:AG$8,S$1,"Falsch"),"")</f>
        <v/>
      </c>
      <c r="T134" s="16" t="str">
        <f>IF(AND(T$10&gt;=$D134,T$11&lt;=$E134),VLOOKUP($F134,$K$2:AH$8,T$1,"Falsch"),"")</f>
        <v/>
      </c>
      <c r="U134" s="16" t="str">
        <f>IF(AND(U$10&gt;=$D134,U$11&lt;=$E134),VLOOKUP($F134,$K$2:AI$8,U$1,"Falsch"),"")</f>
        <v/>
      </c>
      <c r="V134" s="16" t="str">
        <f>IF(AND(V$10&gt;=$D134,V$11&lt;=$E134),VLOOKUP($F134,$K$2:AJ$8,V$1,"Falsch"),"")</f>
        <v/>
      </c>
      <c r="W134" s="16" t="str">
        <f>IF(AND(W$10&gt;=$D134,W$11&lt;=$E134),VLOOKUP($F134,$K$2:AK$8,W$1,"Falsch"),"")</f>
        <v/>
      </c>
      <c r="X134" s="16" t="str">
        <f>IF(AND(X$10&gt;=$D134,X$11&lt;=$E134),VLOOKUP($F134,$K$2:AL$8,X$1,"Falsch"),"")</f>
        <v/>
      </c>
      <c r="Y134" s="16" t="str">
        <f>IF(AND(Y$10&gt;=$D134,Y$11&lt;=$E134),VLOOKUP($F134,$K$2:AM$8,Y$1,"Falsch"),"")</f>
        <v/>
      </c>
      <c r="Z134" s="16" t="str">
        <f>IF(AND(Z$10&gt;=$D134,Z$11&lt;=$E134),VLOOKUP($F134,$K$2:AN$8,Z$1,"Falsch"),"")</f>
        <v/>
      </c>
      <c r="AA134" s="16" t="str">
        <f>IF(AND(AA$10&gt;=$D134,AA$11&lt;=$E134),VLOOKUP($F134,$K$2:AO$8,AA$1,"Falsch"),"")</f>
        <v/>
      </c>
      <c r="AB134" s="16" t="str">
        <f>IF(AND(AB$10&gt;=$D134,AB$11&lt;=$E134),VLOOKUP($F134,$K$2:AP$8,AB$1,"Falsch"),"")</f>
        <v/>
      </c>
      <c r="AC134" s="16" t="str">
        <f>IF(AND(AC$10&gt;=$D134,AC$11&lt;=$E134),VLOOKUP($F134,$K$2:AQ$8,AC$1,"Falsch"),"")</f>
        <v/>
      </c>
      <c r="AD134" s="16" t="str">
        <f>IF(AND(AD$10&gt;=$D134,AD$11&lt;=$E134),VLOOKUP($F134,$K$2:AR$8,AD$1,"Falsch"),"")</f>
        <v/>
      </c>
    </row>
    <row r="135" spans="9:30" x14ac:dyDescent="0.25">
      <c r="I135" s="21">
        <f t="shared" si="31"/>
        <v>0</v>
      </c>
      <c r="K135" s="25">
        <f t="shared" si="32"/>
        <v>0</v>
      </c>
      <c r="L135" s="16" t="str">
        <f>IF(AND(L$10&gt;=$D135,L$11&lt;=$E135),VLOOKUP($F135,$K$2:Z$8,L$1,"Falsch"),"")</f>
        <v/>
      </c>
      <c r="M135" s="16" t="str">
        <f>IF(AND(M$10&gt;=$D135,M$11&lt;=$E135),VLOOKUP($F135,$K$2:AA$8,M$1,"Falsch"),"")</f>
        <v/>
      </c>
      <c r="N135" s="16" t="str">
        <f>IF(AND(N$10&gt;=$D135,N$11&lt;=$E135),VLOOKUP($F135,$K$2:AB$8,N$1,"Falsch"),"")</f>
        <v/>
      </c>
      <c r="O135" s="16" t="str">
        <f>IF(AND(O$10&gt;=$D135,O$11&lt;=$E135),VLOOKUP($F135,$K$2:AC$8,O$1,"Falsch"),"")</f>
        <v/>
      </c>
      <c r="P135" s="16" t="str">
        <f>IF(AND(P$10&gt;=$D135,P$11&lt;=$E135),VLOOKUP($F135,$K$2:AD$8,P$1,"Falsch"),"")</f>
        <v/>
      </c>
      <c r="Q135" s="16" t="str">
        <f>IF(AND(Q$10&gt;=$D135,Q$11&lt;=$E135),VLOOKUP($F135,$K$2:AE$8,Q$1,"Falsch"),"")</f>
        <v/>
      </c>
      <c r="R135" s="16" t="str">
        <f>IF(AND(R$10&gt;=$D135,R$11&lt;=$E135),VLOOKUP($F135,$K$2:AF$8,R$1,"Falsch"),"")</f>
        <v/>
      </c>
      <c r="S135" s="16" t="str">
        <f>IF(AND(S$10&gt;=$D135,S$11&lt;=$E135),VLOOKUP($F135,$K$2:AG$8,S$1,"Falsch"),"")</f>
        <v/>
      </c>
      <c r="T135" s="16" t="str">
        <f>IF(AND(T$10&gt;=$D135,T$11&lt;=$E135),VLOOKUP($F135,$K$2:AH$8,T$1,"Falsch"),"")</f>
        <v/>
      </c>
      <c r="U135" s="16" t="str">
        <f>IF(AND(U$10&gt;=$D135,U$11&lt;=$E135),VLOOKUP($F135,$K$2:AI$8,U$1,"Falsch"),"")</f>
        <v/>
      </c>
      <c r="V135" s="16" t="str">
        <f>IF(AND(V$10&gt;=$D135,V$11&lt;=$E135),VLOOKUP($F135,$K$2:AJ$8,V$1,"Falsch"),"")</f>
        <v/>
      </c>
      <c r="W135" s="16" t="str">
        <f>IF(AND(W$10&gt;=$D135,W$11&lt;=$E135),VLOOKUP($F135,$K$2:AK$8,W$1,"Falsch"),"")</f>
        <v/>
      </c>
      <c r="X135" s="16" t="str">
        <f>IF(AND(X$10&gt;=$D135,X$11&lt;=$E135),VLOOKUP($F135,$K$2:AL$8,X$1,"Falsch"),"")</f>
        <v/>
      </c>
      <c r="Y135" s="16" t="str">
        <f>IF(AND(Y$10&gt;=$D135,Y$11&lt;=$E135),VLOOKUP($F135,$K$2:AM$8,Y$1,"Falsch"),"")</f>
        <v/>
      </c>
      <c r="Z135" s="16" t="str">
        <f>IF(AND(Z$10&gt;=$D135,Z$11&lt;=$E135),VLOOKUP($F135,$K$2:AN$8,Z$1,"Falsch"),"")</f>
        <v/>
      </c>
      <c r="AA135" s="16" t="str">
        <f>IF(AND(AA$10&gt;=$D135,AA$11&lt;=$E135),VLOOKUP($F135,$K$2:AO$8,AA$1,"Falsch"),"")</f>
        <v/>
      </c>
      <c r="AB135" s="16" t="str">
        <f>IF(AND(AB$10&gt;=$D135,AB$11&lt;=$E135),VLOOKUP($F135,$K$2:AP$8,AB$1,"Falsch"),"")</f>
        <v/>
      </c>
      <c r="AC135" s="16" t="str">
        <f>IF(AND(AC$10&gt;=$D135,AC$11&lt;=$E135),VLOOKUP($F135,$K$2:AQ$8,AC$1,"Falsch"),"")</f>
        <v/>
      </c>
      <c r="AD135" s="16" t="str">
        <f>IF(AND(AD$10&gt;=$D135,AD$11&lt;=$E135),VLOOKUP($F135,$K$2:AR$8,AD$1,"Falsch"),"")</f>
        <v/>
      </c>
    </row>
    <row r="136" spans="9:30" x14ac:dyDescent="0.25">
      <c r="I136" s="21">
        <f t="shared" si="31"/>
        <v>0</v>
      </c>
      <c r="K136" s="25">
        <f t="shared" si="32"/>
        <v>0</v>
      </c>
      <c r="L136" s="16" t="str">
        <f>IF(AND(L$10&gt;=$D136,L$11&lt;=$E136),VLOOKUP($F136,$K$2:Z$8,L$1,"Falsch"),"")</f>
        <v/>
      </c>
      <c r="M136" s="16" t="str">
        <f>IF(AND(M$10&gt;=$D136,M$11&lt;=$E136),VLOOKUP($F136,$K$2:AA$8,M$1,"Falsch"),"")</f>
        <v/>
      </c>
      <c r="N136" s="16" t="str">
        <f>IF(AND(N$10&gt;=$D136,N$11&lt;=$E136),VLOOKUP($F136,$K$2:AB$8,N$1,"Falsch"),"")</f>
        <v/>
      </c>
      <c r="O136" s="16" t="str">
        <f>IF(AND(O$10&gt;=$D136,O$11&lt;=$E136),VLOOKUP($F136,$K$2:AC$8,O$1,"Falsch"),"")</f>
        <v/>
      </c>
      <c r="P136" s="16" t="str">
        <f>IF(AND(P$10&gt;=$D136,P$11&lt;=$E136),VLOOKUP($F136,$K$2:AD$8,P$1,"Falsch"),"")</f>
        <v/>
      </c>
      <c r="Q136" s="16" t="str">
        <f>IF(AND(Q$10&gt;=$D136,Q$11&lt;=$E136),VLOOKUP($F136,$K$2:AE$8,Q$1,"Falsch"),"")</f>
        <v/>
      </c>
      <c r="R136" s="16" t="str">
        <f>IF(AND(R$10&gt;=$D136,R$11&lt;=$E136),VLOOKUP($F136,$K$2:AF$8,R$1,"Falsch"),"")</f>
        <v/>
      </c>
      <c r="S136" s="16" t="str">
        <f>IF(AND(S$10&gt;=$D136,S$11&lt;=$E136),VLOOKUP($F136,$K$2:AG$8,S$1,"Falsch"),"")</f>
        <v/>
      </c>
      <c r="T136" s="16" t="str">
        <f>IF(AND(T$10&gt;=$D136,T$11&lt;=$E136),VLOOKUP($F136,$K$2:AH$8,T$1,"Falsch"),"")</f>
        <v/>
      </c>
      <c r="U136" s="16" t="str">
        <f>IF(AND(U$10&gt;=$D136,U$11&lt;=$E136),VLOOKUP($F136,$K$2:AI$8,U$1,"Falsch"),"")</f>
        <v/>
      </c>
      <c r="V136" s="16" t="str">
        <f>IF(AND(V$10&gt;=$D136,V$11&lt;=$E136),VLOOKUP($F136,$K$2:AJ$8,V$1,"Falsch"),"")</f>
        <v/>
      </c>
      <c r="W136" s="16" t="str">
        <f>IF(AND(W$10&gt;=$D136,W$11&lt;=$E136),VLOOKUP($F136,$K$2:AK$8,W$1,"Falsch"),"")</f>
        <v/>
      </c>
      <c r="X136" s="16" t="str">
        <f>IF(AND(X$10&gt;=$D136,X$11&lt;=$E136),VLOOKUP($F136,$K$2:AL$8,X$1,"Falsch"),"")</f>
        <v/>
      </c>
      <c r="Y136" s="16" t="str">
        <f>IF(AND(Y$10&gt;=$D136,Y$11&lt;=$E136),VLOOKUP($F136,$K$2:AM$8,Y$1,"Falsch"),"")</f>
        <v/>
      </c>
      <c r="Z136" s="16" t="str">
        <f>IF(AND(Z$10&gt;=$D136,Z$11&lt;=$E136),VLOOKUP($F136,$K$2:AN$8,Z$1,"Falsch"),"")</f>
        <v/>
      </c>
      <c r="AA136" s="16" t="str">
        <f>IF(AND(AA$10&gt;=$D136,AA$11&lt;=$E136),VLOOKUP($F136,$K$2:AO$8,AA$1,"Falsch"),"")</f>
        <v/>
      </c>
      <c r="AB136" s="16" t="str">
        <f>IF(AND(AB$10&gt;=$D136,AB$11&lt;=$E136),VLOOKUP($F136,$K$2:AP$8,AB$1,"Falsch"),"")</f>
        <v/>
      </c>
      <c r="AC136" s="16" t="str">
        <f>IF(AND(AC$10&gt;=$D136,AC$11&lt;=$E136),VLOOKUP($F136,$K$2:AQ$8,AC$1,"Falsch"),"")</f>
        <v/>
      </c>
      <c r="AD136" s="16" t="str">
        <f>IF(AND(AD$10&gt;=$D136,AD$11&lt;=$E136),VLOOKUP($F136,$K$2:AR$8,AD$1,"Falsch"),"")</f>
        <v/>
      </c>
    </row>
    <row r="137" spans="9:30" x14ac:dyDescent="0.25">
      <c r="I137" s="21">
        <f t="shared" si="31"/>
        <v>0</v>
      </c>
      <c r="K137" s="25">
        <f t="shared" si="32"/>
        <v>0</v>
      </c>
      <c r="L137" s="16" t="str">
        <f>IF(AND(L$10&gt;=$D137,L$11&lt;=$E137),VLOOKUP($F137,$K$2:Z$8,L$1,"Falsch"),"")</f>
        <v/>
      </c>
      <c r="M137" s="16" t="str">
        <f>IF(AND(M$10&gt;=$D137,M$11&lt;=$E137),VLOOKUP($F137,$K$2:AA$8,M$1,"Falsch"),"")</f>
        <v/>
      </c>
      <c r="N137" s="16" t="str">
        <f>IF(AND(N$10&gt;=$D137,N$11&lt;=$E137),VLOOKUP($F137,$K$2:AB$8,N$1,"Falsch"),"")</f>
        <v/>
      </c>
      <c r="O137" s="16" t="str">
        <f>IF(AND(O$10&gt;=$D137,O$11&lt;=$E137),VLOOKUP($F137,$K$2:AC$8,O$1,"Falsch"),"")</f>
        <v/>
      </c>
      <c r="P137" s="16" t="str">
        <f>IF(AND(P$10&gt;=$D137,P$11&lt;=$E137),VLOOKUP($F137,$K$2:AD$8,P$1,"Falsch"),"")</f>
        <v/>
      </c>
      <c r="Q137" s="16" t="str">
        <f>IF(AND(Q$10&gt;=$D137,Q$11&lt;=$E137),VLOOKUP($F137,$K$2:AE$8,Q$1,"Falsch"),"")</f>
        <v/>
      </c>
      <c r="R137" s="16" t="str">
        <f>IF(AND(R$10&gt;=$D137,R$11&lt;=$E137),VLOOKUP($F137,$K$2:AF$8,R$1,"Falsch"),"")</f>
        <v/>
      </c>
      <c r="S137" s="16" t="str">
        <f>IF(AND(S$10&gt;=$D137,S$11&lt;=$E137),VLOOKUP($F137,$K$2:AG$8,S$1,"Falsch"),"")</f>
        <v/>
      </c>
      <c r="T137" s="16" t="str">
        <f>IF(AND(T$10&gt;=$D137,T$11&lt;=$E137),VLOOKUP($F137,$K$2:AH$8,T$1,"Falsch"),"")</f>
        <v/>
      </c>
      <c r="U137" s="16" t="str">
        <f>IF(AND(U$10&gt;=$D137,U$11&lt;=$E137),VLOOKUP($F137,$K$2:AI$8,U$1,"Falsch"),"")</f>
        <v/>
      </c>
      <c r="V137" s="16" t="str">
        <f>IF(AND(V$10&gt;=$D137,V$11&lt;=$E137),VLOOKUP($F137,$K$2:AJ$8,V$1,"Falsch"),"")</f>
        <v/>
      </c>
      <c r="W137" s="16" t="str">
        <f>IF(AND(W$10&gt;=$D137,W$11&lt;=$E137),VLOOKUP($F137,$K$2:AK$8,W$1,"Falsch"),"")</f>
        <v/>
      </c>
      <c r="X137" s="16" t="str">
        <f>IF(AND(X$10&gt;=$D137,X$11&lt;=$E137),VLOOKUP($F137,$K$2:AL$8,X$1,"Falsch"),"")</f>
        <v/>
      </c>
      <c r="Y137" s="16" t="str">
        <f>IF(AND(Y$10&gt;=$D137,Y$11&lt;=$E137),VLOOKUP($F137,$K$2:AM$8,Y$1,"Falsch"),"")</f>
        <v/>
      </c>
      <c r="Z137" s="16" t="str">
        <f>IF(AND(Z$10&gt;=$D137,Z$11&lt;=$E137),VLOOKUP($F137,$K$2:AN$8,Z$1,"Falsch"),"")</f>
        <v/>
      </c>
      <c r="AA137" s="16" t="str">
        <f>IF(AND(AA$10&gt;=$D137,AA$11&lt;=$E137),VLOOKUP($F137,$K$2:AO$8,AA$1,"Falsch"),"")</f>
        <v/>
      </c>
      <c r="AB137" s="16" t="str">
        <f>IF(AND(AB$10&gt;=$D137,AB$11&lt;=$E137),VLOOKUP($F137,$K$2:AP$8,AB$1,"Falsch"),"")</f>
        <v/>
      </c>
      <c r="AC137" s="16" t="str">
        <f>IF(AND(AC$10&gt;=$D137,AC$11&lt;=$E137),VLOOKUP($F137,$K$2:AQ$8,AC$1,"Falsch"),"")</f>
        <v/>
      </c>
      <c r="AD137" s="16" t="str">
        <f>IF(AND(AD$10&gt;=$D137,AD$11&lt;=$E137),VLOOKUP($F137,$K$2:AR$8,AD$1,"Falsch"),"")</f>
        <v/>
      </c>
    </row>
    <row r="138" spans="9:30" x14ac:dyDescent="0.25">
      <c r="I138" s="21">
        <f t="shared" si="31"/>
        <v>0</v>
      </c>
      <c r="K138" s="25">
        <f t="shared" si="32"/>
        <v>0</v>
      </c>
      <c r="L138" s="16" t="str">
        <f>IF(AND(L$10&gt;=$D138,L$11&lt;=$E138),VLOOKUP($F138,$K$2:Z$8,L$1,"Falsch"),"")</f>
        <v/>
      </c>
      <c r="M138" s="16" t="str">
        <f>IF(AND(M$10&gt;=$D138,M$11&lt;=$E138),VLOOKUP($F138,$K$2:AA$8,M$1,"Falsch"),"")</f>
        <v/>
      </c>
      <c r="N138" s="16" t="str">
        <f>IF(AND(N$10&gt;=$D138,N$11&lt;=$E138),VLOOKUP($F138,$K$2:AB$8,N$1,"Falsch"),"")</f>
        <v/>
      </c>
      <c r="O138" s="16" t="str">
        <f>IF(AND(O$10&gt;=$D138,O$11&lt;=$E138),VLOOKUP($F138,$K$2:AC$8,O$1,"Falsch"),"")</f>
        <v/>
      </c>
      <c r="P138" s="16" t="str">
        <f>IF(AND(P$10&gt;=$D138,P$11&lt;=$E138),VLOOKUP($F138,$K$2:AD$8,P$1,"Falsch"),"")</f>
        <v/>
      </c>
      <c r="Q138" s="16" t="str">
        <f>IF(AND(Q$10&gt;=$D138,Q$11&lt;=$E138),VLOOKUP($F138,$K$2:AE$8,Q$1,"Falsch"),"")</f>
        <v/>
      </c>
      <c r="R138" s="16" t="str">
        <f>IF(AND(R$10&gt;=$D138,R$11&lt;=$E138),VLOOKUP($F138,$K$2:AF$8,R$1,"Falsch"),"")</f>
        <v/>
      </c>
      <c r="S138" s="16" t="str">
        <f>IF(AND(S$10&gt;=$D138,S$11&lt;=$E138),VLOOKUP($F138,$K$2:AG$8,S$1,"Falsch"),"")</f>
        <v/>
      </c>
      <c r="T138" s="16" t="str">
        <f>IF(AND(T$10&gt;=$D138,T$11&lt;=$E138),VLOOKUP($F138,$K$2:AH$8,T$1,"Falsch"),"")</f>
        <v/>
      </c>
      <c r="U138" s="16" t="str">
        <f>IF(AND(U$10&gt;=$D138,U$11&lt;=$E138),VLOOKUP($F138,$K$2:AI$8,U$1,"Falsch"),"")</f>
        <v/>
      </c>
      <c r="V138" s="16" t="str">
        <f>IF(AND(V$10&gt;=$D138,V$11&lt;=$E138),VLOOKUP($F138,$K$2:AJ$8,V$1,"Falsch"),"")</f>
        <v/>
      </c>
      <c r="W138" s="16" t="str">
        <f>IF(AND(W$10&gt;=$D138,W$11&lt;=$E138),VLOOKUP($F138,$K$2:AK$8,W$1,"Falsch"),"")</f>
        <v/>
      </c>
      <c r="X138" s="16" t="str">
        <f>IF(AND(X$10&gt;=$D138,X$11&lt;=$E138),VLOOKUP($F138,$K$2:AL$8,X$1,"Falsch"),"")</f>
        <v/>
      </c>
      <c r="Y138" s="16" t="str">
        <f>IF(AND(Y$10&gt;=$D138,Y$11&lt;=$E138),VLOOKUP($F138,$K$2:AM$8,Y$1,"Falsch"),"")</f>
        <v/>
      </c>
      <c r="Z138" s="16" t="str">
        <f>IF(AND(Z$10&gt;=$D138,Z$11&lt;=$E138),VLOOKUP($F138,$K$2:AN$8,Z$1,"Falsch"),"")</f>
        <v/>
      </c>
      <c r="AA138" s="16" t="str">
        <f>IF(AND(AA$10&gt;=$D138,AA$11&lt;=$E138),VLOOKUP($F138,$K$2:AO$8,AA$1,"Falsch"),"")</f>
        <v/>
      </c>
      <c r="AB138" s="16" t="str">
        <f>IF(AND(AB$10&gt;=$D138,AB$11&lt;=$E138),VLOOKUP($F138,$K$2:AP$8,AB$1,"Falsch"),"")</f>
        <v/>
      </c>
      <c r="AC138" s="16" t="str">
        <f>IF(AND(AC$10&gt;=$D138,AC$11&lt;=$E138),VLOOKUP($F138,$K$2:AQ$8,AC$1,"Falsch"),"")</f>
        <v/>
      </c>
      <c r="AD138" s="16" t="str">
        <f>IF(AND(AD$10&gt;=$D138,AD$11&lt;=$E138),VLOOKUP($F138,$K$2:AR$8,AD$1,"Falsch"),"")</f>
        <v/>
      </c>
    </row>
    <row r="139" spans="9:30" x14ac:dyDescent="0.25">
      <c r="I139" s="21">
        <f t="shared" si="31"/>
        <v>0</v>
      </c>
      <c r="K139" s="25">
        <f t="shared" si="32"/>
        <v>0</v>
      </c>
      <c r="L139" s="16" t="str">
        <f>IF(AND(L$10&gt;=$D139,L$11&lt;=$E139),VLOOKUP($F139,$K$2:Z$8,L$1,"Falsch"),"")</f>
        <v/>
      </c>
      <c r="M139" s="16" t="str">
        <f>IF(AND(M$10&gt;=$D139,M$11&lt;=$E139),VLOOKUP($F139,$K$2:AA$8,M$1,"Falsch"),"")</f>
        <v/>
      </c>
      <c r="N139" s="16" t="str">
        <f>IF(AND(N$10&gt;=$D139,N$11&lt;=$E139),VLOOKUP($F139,$K$2:AB$8,N$1,"Falsch"),"")</f>
        <v/>
      </c>
      <c r="O139" s="16" t="str">
        <f>IF(AND(O$10&gt;=$D139,O$11&lt;=$E139),VLOOKUP($F139,$K$2:AC$8,O$1,"Falsch"),"")</f>
        <v/>
      </c>
      <c r="P139" s="16" t="str">
        <f>IF(AND(P$10&gt;=$D139,P$11&lt;=$E139),VLOOKUP($F139,$K$2:AD$8,P$1,"Falsch"),"")</f>
        <v/>
      </c>
      <c r="Q139" s="16" t="str">
        <f>IF(AND(Q$10&gt;=$D139,Q$11&lt;=$E139),VLOOKUP($F139,$K$2:AE$8,Q$1,"Falsch"),"")</f>
        <v/>
      </c>
      <c r="R139" s="16" t="str">
        <f>IF(AND(R$10&gt;=$D139,R$11&lt;=$E139),VLOOKUP($F139,$K$2:AF$8,R$1,"Falsch"),"")</f>
        <v/>
      </c>
      <c r="S139" s="16" t="str">
        <f>IF(AND(S$10&gt;=$D139,S$11&lt;=$E139),VLOOKUP($F139,$K$2:AG$8,S$1,"Falsch"),"")</f>
        <v/>
      </c>
      <c r="T139" s="16" t="str">
        <f>IF(AND(T$10&gt;=$D139,T$11&lt;=$E139),VLOOKUP($F139,$K$2:AH$8,T$1,"Falsch"),"")</f>
        <v/>
      </c>
      <c r="U139" s="16" t="str">
        <f>IF(AND(U$10&gt;=$D139,U$11&lt;=$E139),VLOOKUP($F139,$K$2:AI$8,U$1,"Falsch"),"")</f>
        <v/>
      </c>
      <c r="V139" s="16" t="str">
        <f>IF(AND(V$10&gt;=$D139,V$11&lt;=$E139),VLOOKUP($F139,$K$2:AJ$8,V$1,"Falsch"),"")</f>
        <v/>
      </c>
      <c r="W139" s="16" t="str">
        <f>IF(AND(W$10&gt;=$D139,W$11&lt;=$E139),VLOOKUP($F139,$K$2:AK$8,W$1,"Falsch"),"")</f>
        <v/>
      </c>
      <c r="X139" s="16" t="str">
        <f>IF(AND(X$10&gt;=$D139,X$11&lt;=$E139),VLOOKUP($F139,$K$2:AL$8,X$1,"Falsch"),"")</f>
        <v/>
      </c>
      <c r="Y139" s="16" t="str">
        <f>IF(AND(Y$10&gt;=$D139,Y$11&lt;=$E139),VLOOKUP($F139,$K$2:AM$8,Y$1,"Falsch"),"")</f>
        <v/>
      </c>
      <c r="Z139" s="16" t="str">
        <f>IF(AND(Z$10&gt;=$D139,Z$11&lt;=$E139),VLOOKUP($F139,$K$2:AN$8,Z$1,"Falsch"),"")</f>
        <v/>
      </c>
      <c r="AA139" s="16" t="str">
        <f>IF(AND(AA$10&gt;=$D139,AA$11&lt;=$E139),VLOOKUP($F139,$K$2:AO$8,AA$1,"Falsch"),"")</f>
        <v/>
      </c>
      <c r="AB139" s="16" t="str">
        <f>IF(AND(AB$10&gt;=$D139,AB$11&lt;=$E139),VLOOKUP($F139,$K$2:AP$8,AB$1,"Falsch"),"")</f>
        <v/>
      </c>
      <c r="AC139" s="16" t="str">
        <f>IF(AND(AC$10&gt;=$D139,AC$11&lt;=$E139),VLOOKUP($F139,$K$2:AQ$8,AC$1,"Falsch"),"")</f>
        <v/>
      </c>
      <c r="AD139" s="16" t="str">
        <f>IF(AND(AD$10&gt;=$D139,AD$11&lt;=$E139),VLOOKUP($F139,$K$2:AR$8,AD$1,"Falsch"),"")</f>
        <v/>
      </c>
    </row>
    <row r="140" spans="9:30" x14ac:dyDescent="0.25">
      <c r="I140" s="21">
        <f t="shared" si="31"/>
        <v>0</v>
      </c>
      <c r="K140" s="25">
        <f t="shared" si="32"/>
        <v>0</v>
      </c>
      <c r="L140" s="16" t="str">
        <f>IF(AND(L$10&gt;=$D140,L$11&lt;=$E140),VLOOKUP($F140,$K$2:Z$8,L$1,"Falsch"),"")</f>
        <v/>
      </c>
      <c r="M140" s="16" t="str">
        <f>IF(AND(M$10&gt;=$D140,M$11&lt;=$E140),VLOOKUP($F140,$K$2:AA$8,M$1,"Falsch"),"")</f>
        <v/>
      </c>
      <c r="N140" s="16" t="str">
        <f>IF(AND(N$10&gt;=$D140,N$11&lt;=$E140),VLOOKUP($F140,$K$2:AB$8,N$1,"Falsch"),"")</f>
        <v/>
      </c>
      <c r="O140" s="16" t="str">
        <f>IF(AND(O$10&gt;=$D140,O$11&lt;=$E140),VLOOKUP($F140,$K$2:AC$8,O$1,"Falsch"),"")</f>
        <v/>
      </c>
      <c r="P140" s="16" t="str">
        <f>IF(AND(P$10&gt;=$D140,P$11&lt;=$E140),VLOOKUP($F140,$K$2:AD$8,P$1,"Falsch"),"")</f>
        <v/>
      </c>
      <c r="Q140" s="16" t="str">
        <f>IF(AND(Q$10&gt;=$D140,Q$11&lt;=$E140),VLOOKUP($F140,$K$2:AE$8,Q$1,"Falsch"),"")</f>
        <v/>
      </c>
      <c r="R140" s="16" t="str">
        <f>IF(AND(R$10&gt;=$D140,R$11&lt;=$E140),VLOOKUP($F140,$K$2:AF$8,R$1,"Falsch"),"")</f>
        <v/>
      </c>
      <c r="S140" s="16" t="str">
        <f>IF(AND(S$10&gt;=$D140,S$11&lt;=$E140),VLOOKUP($F140,$K$2:AG$8,S$1,"Falsch"),"")</f>
        <v/>
      </c>
      <c r="T140" s="16" t="str">
        <f>IF(AND(T$10&gt;=$D140,T$11&lt;=$E140),VLOOKUP($F140,$K$2:AH$8,T$1,"Falsch"),"")</f>
        <v/>
      </c>
      <c r="U140" s="16" t="str">
        <f>IF(AND(U$10&gt;=$D140,U$11&lt;=$E140),VLOOKUP($F140,$K$2:AI$8,U$1,"Falsch"),"")</f>
        <v/>
      </c>
      <c r="V140" s="16" t="str">
        <f>IF(AND(V$10&gt;=$D140,V$11&lt;=$E140),VLOOKUP($F140,$K$2:AJ$8,V$1,"Falsch"),"")</f>
        <v/>
      </c>
      <c r="W140" s="16" t="str">
        <f>IF(AND(W$10&gt;=$D140,W$11&lt;=$E140),VLOOKUP($F140,$K$2:AK$8,W$1,"Falsch"),"")</f>
        <v/>
      </c>
      <c r="X140" s="16" t="str">
        <f>IF(AND(X$10&gt;=$D140,X$11&lt;=$E140),VLOOKUP($F140,$K$2:AL$8,X$1,"Falsch"),"")</f>
        <v/>
      </c>
      <c r="Y140" s="16" t="str">
        <f>IF(AND(Y$10&gt;=$D140,Y$11&lt;=$E140),VLOOKUP($F140,$K$2:AM$8,Y$1,"Falsch"),"")</f>
        <v/>
      </c>
      <c r="Z140" s="16" t="str">
        <f>IF(AND(Z$10&gt;=$D140,Z$11&lt;=$E140),VLOOKUP($F140,$K$2:AN$8,Z$1,"Falsch"),"")</f>
        <v/>
      </c>
      <c r="AA140" s="16" t="str">
        <f>IF(AND(AA$10&gt;=$D140,AA$11&lt;=$E140),VLOOKUP($F140,$K$2:AO$8,AA$1,"Falsch"),"")</f>
        <v/>
      </c>
      <c r="AB140" s="16" t="str">
        <f>IF(AND(AB$10&gt;=$D140,AB$11&lt;=$E140),VLOOKUP($F140,$K$2:AP$8,AB$1,"Falsch"),"")</f>
        <v/>
      </c>
      <c r="AC140" s="16" t="str">
        <f>IF(AND(AC$10&gt;=$D140,AC$11&lt;=$E140),VLOOKUP($F140,$K$2:AQ$8,AC$1,"Falsch"),"")</f>
        <v/>
      </c>
      <c r="AD140" s="16" t="str">
        <f>IF(AND(AD$10&gt;=$D140,AD$11&lt;=$E140),VLOOKUP($F140,$K$2:AR$8,AD$1,"Falsch"),"")</f>
        <v/>
      </c>
    </row>
    <row r="141" spans="9:30" x14ac:dyDescent="0.25">
      <c r="I141" s="21">
        <f t="shared" ref="I141:I151" si="33">E141-D141</f>
        <v>0</v>
      </c>
      <c r="K141" s="25">
        <f t="shared" ref="K141:K204" si="34">SUM(L141:AD141)</f>
        <v>0</v>
      </c>
      <c r="L141" s="16" t="str">
        <f>IF(AND(L$10&gt;=$D141,L$11&lt;=$E141),VLOOKUP($F141,$K$2:Z$8,L$1,"Falsch"),"")</f>
        <v/>
      </c>
      <c r="M141" s="16" t="str">
        <f>IF(AND(M$10&gt;=$D141,M$11&lt;=$E141),VLOOKUP($F141,$K$2:AA$8,M$1,"Falsch"),"")</f>
        <v/>
      </c>
      <c r="N141" s="16" t="str">
        <f>IF(AND(N$10&gt;=$D141,N$11&lt;=$E141),VLOOKUP($F141,$K$2:AB$8,N$1,"Falsch"),"")</f>
        <v/>
      </c>
      <c r="O141" s="16" t="str">
        <f>IF(AND(O$10&gt;=$D141,O$11&lt;=$E141),VLOOKUP($F141,$K$2:AC$8,O$1,"Falsch"),"")</f>
        <v/>
      </c>
      <c r="P141" s="16" t="str">
        <f>IF(AND(P$10&gt;=$D141,P$11&lt;=$E141),VLOOKUP($F141,$K$2:AD$8,P$1,"Falsch"),"")</f>
        <v/>
      </c>
      <c r="Q141" s="16" t="str">
        <f>IF(AND(Q$10&gt;=$D141,Q$11&lt;=$E141),VLOOKUP($F141,$K$2:AE$8,Q$1,"Falsch"),"")</f>
        <v/>
      </c>
      <c r="R141" s="16" t="str">
        <f>IF(AND(R$10&gt;=$D141,R$11&lt;=$E141),VLOOKUP($F141,$K$2:AF$8,R$1,"Falsch"),"")</f>
        <v/>
      </c>
      <c r="S141" s="16" t="str">
        <f>IF(AND(S$10&gt;=$D141,S$11&lt;=$E141),VLOOKUP($F141,$K$2:AG$8,S$1,"Falsch"),"")</f>
        <v/>
      </c>
      <c r="T141" s="16" t="str">
        <f>IF(AND(T$10&gt;=$D141,T$11&lt;=$E141),VLOOKUP($F141,$K$2:AH$8,T$1,"Falsch"),"")</f>
        <v/>
      </c>
      <c r="U141" s="16" t="str">
        <f>IF(AND(U$10&gt;=$D141,U$11&lt;=$E141),VLOOKUP($F141,$K$2:AI$8,U$1,"Falsch"),"")</f>
        <v/>
      </c>
      <c r="V141" s="16" t="str">
        <f>IF(AND(V$10&gt;=$D141,V$11&lt;=$E141),VLOOKUP($F141,$K$2:AJ$8,V$1,"Falsch"),"")</f>
        <v/>
      </c>
      <c r="W141" s="16" t="str">
        <f>IF(AND(W$10&gt;=$D141,W$11&lt;=$E141),VLOOKUP($F141,$K$2:AK$8,W$1,"Falsch"),"")</f>
        <v/>
      </c>
      <c r="X141" s="16" t="str">
        <f>IF(AND(X$10&gt;=$D141,X$11&lt;=$E141),VLOOKUP($F141,$K$2:AL$8,X$1,"Falsch"),"")</f>
        <v/>
      </c>
      <c r="Y141" s="16" t="str">
        <f>IF(AND(Y$10&gt;=$D141,Y$11&lt;=$E141),VLOOKUP($F141,$K$2:AM$8,Y$1,"Falsch"),"")</f>
        <v/>
      </c>
      <c r="Z141" s="16" t="str">
        <f>IF(AND(Z$10&gt;=$D141,Z$11&lt;=$E141),VLOOKUP($F141,$K$2:AN$8,Z$1,"Falsch"),"")</f>
        <v/>
      </c>
      <c r="AA141" s="16" t="str">
        <f>IF(AND(AA$10&gt;=$D141,AA$11&lt;=$E141),VLOOKUP($F141,$K$2:AO$8,AA$1,"Falsch"),"")</f>
        <v/>
      </c>
      <c r="AB141" s="16" t="str">
        <f>IF(AND(AB$10&gt;=$D141,AB$11&lt;=$E141),VLOOKUP($F141,$K$2:AP$8,AB$1,"Falsch"),"")</f>
        <v/>
      </c>
      <c r="AC141" s="16" t="str">
        <f>IF(AND(AC$10&gt;=$D141,AC$11&lt;=$E141),VLOOKUP($F141,$K$2:AQ$8,AC$1,"Falsch"),"")</f>
        <v/>
      </c>
      <c r="AD141" s="16" t="str">
        <f>IF(AND(AD$10&gt;=$D141,AD$11&lt;=$E141),VLOOKUP($F141,$K$2:AR$8,AD$1,"Falsch"),"")</f>
        <v/>
      </c>
    </row>
    <row r="142" spans="9:30" x14ac:dyDescent="0.25">
      <c r="I142" s="21">
        <f t="shared" si="33"/>
        <v>0</v>
      </c>
      <c r="K142" s="25">
        <f t="shared" si="34"/>
        <v>0</v>
      </c>
      <c r="L142" s="16" t="str">
        <f>IF(AND(L$10&gt;=$D142,L$11&lt;=$E142),VLOOKUP($F142,$K$2:Z$8,L$1,"Falsch"),"")</f>
        <v/>
      </c>
      <c r="M142" s="16" t="str">
        <f>IF(AND(M$10&gt;=$D142,M$11&lt;=$E142),VLOOKUP($F142,$K$2:AA$8,M$1,"Falsch"),"")</f>
        <v/>
      </c>
      <c r="N142" s="16" t="str">
        <f>IF(AND(N$10&gt;=$D142,N$11&lt;=$E142),VLOOKUP($F142,$K$2:AB$8,N$1,"Falsch"),"")</f>
        <v/>
      </c>
      <c r="O142" s="16" t="str">
        <f>IF(AND(O$10&gt;=$D142,O$11&lt;=$E142),VLOOKUP($F142,$K$2:AC$8,O$1,"Falsch"),"")</f>
        <v/>
      </c>
      <c r="P142" s="16" t="str">
        <f>IF(AND(P$10&gt;=$D142,P$11&lt;=$E142),VLOOKUP($F142,$K$2:AD$8,P$1,"Falsch"),"")</f>
        <v/>
      </c>
      <c r="Q142" s="16" t="str">
        <f>IF(AND(Q$10&gt;=$D142,Q$11&lt;=$E142),VLOOKUP($F142,$K$2:AE$8,Q$1,"Falsch"),"")</f>
        <v/>
      </c>
      <c r="R142" s="16" t="str">
        <f>IF(AND(R$10&gt;=$D142,R$11&lt;=$E142),VLOOKUP($F142,$K$2:AF$8,R$1,"Falsch"),"")</f>
        <v/>
      </c>
      <c r="S142" s="16" t="str">
        <f>IF(AND(S$10&gt;=$D142,S$11&lt;=$E142),VLOOKUP($F142,$K$2:AG$8,S$1,"Falsch"),"")</f>
        <v/>
      </c>
      <c r="T142" s="16" t="str">
        <f>IF(AND(T$10&gt;=$D142,T$11&lt;=$E142),VLOOKUP($F142,$K$2:AH$8,T$1,"Falsch"),"")</f>
        <v/>
      </c>
      <c r="U142" s="16" t="str">
        <f>IF(AND(U$10&gt;=$D142,U$11&lt;=$E142),VLOOKUP($F142,$K$2:AI$8,U$1,"Falsch"),"")</f>
        <v/>
      </c>
      <c r="V142" s="16" t="str">
        <f>IF(AND(V$10&gt;=$D142,V$11&lt;=$E142),VLOOKUP($F142,$K$2:AJ$8,V$1,"Falsch"),"")</f>
        <v/>
      </c>
      <c r="W142" s="16" t="str">
        <f>IF(AND(W$10&gt;=$D142,W$11&lt;=$E142),VLOOKUP($F142,$K$2:AK$8,W$1,"Falsch"),"")</f>
        <v/>
      </c>
      <c r="X142" s="16" t="str">
        <f>IF(AND(X$10&gt;=$D142,X$11&lt;=$E142),VLOOKUP($F142,$K$2:AL$8,X$1,"Falsch"),"")</f>
        <v/>
      </c>
      <c r="Y142" s="16" t="str">
        <f>IF(AND(Y$10&gt;=$D142,Y$11&lt;=$E142),VLOOKUP($F142,$K$2:AM$8,Y$1,"Falsch"),"")</f>
        <v/>
      </c>
      <c r="Z142" s="16" t="str">
        <f>IF(AND(Z$10&gt;=$D142,Z$11&lt;=$E142),VLOOKUP($F142,$K$2:AN$8,Z$1,"Falsch"),"")</f>
        <v/>
      </c>
      <c r="AA142" s="16" t="str">
        <f>IF(AND(AA$10&gt;=$D142,AA$11&lt;=$E142),VLOOKUP($F142,$K$2:AO$8,AA$1,"Falsch"),"")</f>
        <v/>
      </c>
      <c r="AB142" s="16" t="str">
        <f>IF(AND(AB$10&gt;=$D142,AB$11&lt;=$E142),VLOOKUP($F142,$K$2:AP$8,AB$1,"Falsch"),"")</f>
        <v/>
      </c>
      <c r="AC142" s="16" t="str">
        <f>IF(AND(AC$10&gt;=$D142,AC$11&lt;=$E142),VLOOKUP($F142,$K$2:AQ$8,AC$1,"Falsch"),"")</f>
        <v/>
      </c>
      <c r="AD142" s="16" t="str">
        <f>IF(AND(AD$10&gt;=$D142,AD$11&lt;=$E142),VLOOKUP($F142,$K$2:AR$8,AD$1,"Falsch"),"")</f>
        <v/>
      </c>
    </row>
    <row r="143" spans="9:30" x14ac:dyDescent="0.25">
      <c r="I143" s="21">
        <f t="shared" si="33"/>
        <v>0</v>
      </c>
      <c r="K143" s="25">
        <f t="shared" si="34"/>
        <v>0</v>
      </c>
      <c r="L143" s="16" t="str">
        <f>IF(AND(L$10&gt;=$D143,L$11&lt;=$E143),VLOOKUP($F143,$K$2:Z$8,L$1,"Falsch"),"")</f>
        <v/>
      </c>
      <c r="M143" s="16" t="str">
        <f>IF(AND(M$10&gt;=$D143,M$11&lt;=$E143),VLOOKUP($F143,$K$2:AA$8,M$1,"Falsch"),"")</f>
        <v/>
      </c>
      <c r="N143" s="16" t="str">
        <f>IF(AND(N$10&gt;=$D143,N$11&lt;=$E143),VLOOKUP($F143,$K$2:AB$8,N$1,"Falsch"),"")</f>
        <v/>
      </c>
      <c r="O143" s="16" t="str">
        <f>IF(AND(O$10&gt;=$D143,O$11&lt;=$E143),VLOOKUP($F143,$K$2:AC$8,O$1,"Falsch"),"")</f>
        <v/>
      </c>
      <c r="P143" s="16" t="str">
        <f>IF(AND(P$10&gt;=$D143,P$11&lt;=$E143),VLOOKUP($F143,$K$2:AD$8,P$1,"Falsch"),"")</f>
        <v/>
      </c>
      <c r="Q143" s="16" t="str">
        <f>IF(AND(Q$10&gt;=$D143,Q$11&lt;=$E143),VLOOKUP($F143,$K$2:AE$8,Q$1,"Falsch"),"")</f>
        <v/>
      </c>
      <c r="R143" s="16" t="str">
        <f>IF(AND(R$10&gt;=$D143,R$11&lt;=$E143),VLOOKUP($F143,$K$2:AF$8,R$1,"Falsch"),"")</f>
        <v/>
      </c>
      <c r="S143" s="16" t="str">
        <f>IF(AND(S$10&gt;=$D143,S$11&lt;=$E143),VLOOKUP($F143,$K$2:AG$8,S$1,"Falsch"),"")</f>
        <v/>
      </c>
      <c r="T143" s="16" t="str">
        <f>IF(AND(T$10&gt;=$D143,T$11&lt;=$E143),VLOOKUP($F143,$K$2:AH$8,T$1,"Falsch"),"")</f>
        <v/>
      </c>
      <c r="U143" s="16" t="str">
        <f>IF(AND(U$10&gt;=$D143,U$11&lt;=$E143),VLOOKUP($F143,$K$2:AI$8,U$1,"Falsch"),"")</f>
        <v/>
      </c>
      <c r="V143" s="16" t="str">
        <f>IF(AND(V$10&gt;=$D143,V$11&lt;=$E143),VLOOKUP($F143,$K$2:AJ$8,V$1,"Falsch"),"")</f>
        <v/>
      </c>
      <c r="W143" s="16" t="str">
        <f>IF(AND(W$10&gt;=$D143,W$11&lt;=$E143),VLOOKUP($F143,$K$2:AK$8,W$1,"Falsch"),"")</f>
        <v/>
      </c>
      <c r="X143" s="16" t="str">
        <f>IF(AND(X$10&gt;=$D143,X$11&lt;=$E143),VLOOKUP($F143,$K$2:AL$8,X$1,"Falsch"),"")</f>
        <v/>
      </c>
      <c r="Y143" s="16" t="str">
        <f>IF(AND(Y$10&gt;=$D143,Y$11&lt;=$E143),VLOOKUP($F143,$K$2:AM$8,Y$1,"Falsch"),"")</f>
        <v/>
      </c>
      <c r="Z143" s="16" t="str">
        <f>IF(AND(Z$10&gt;=$D143,Z$11&lt;=$E143),VLOOKUP($F143,$K$2:AN$8,Z$1,"Falsch"),"")</f>
        <v/>
      </c>
      <c r="AA143" s="16" t="str">
        <f>IF(AND(AA$10&gt;=$D143,AA$11&lt;=$E143),VLOOKUP($F143,$K$2:AO$8,AA$1,"Falsch"),"")</f>
        <v/>
      </c>
      <c r="AB143" s="16" t="str">
        <f>IF(AND(AB$10&gt;=$D143,AB$11&lt;=$E143),VLOOKUP($F143,$K$2:AP$8,AB$1,"Falsch"),"")</f>
        <v/>
      </c>
      <c r="AC143" s="16" t="str">
        <f>IF(AND(AC$10&gt;=$D143,AC$11&lt;=$E143),VLOOKUP($F143,$K$2:AQ$8,AC$1,"Falsch"),"")</f>
        <v/>
      </c>
      <c r="AD143" s="16" t="str">
        <f>IF(AND(AD$10&gt;=$D143,AD$11&lt;=$E143),VLOOKUP($F143,$K$2:AR$8,AD$1,"Falsch"),"")</f>
        <v/>
      </c>
    </row>
    <row r="144" spans="9:30" x14ac:dyDescent="0.25">
      <c r="I144" s="21">
        <f t="shared" si="33"/>
        <v>0</v>
      </c>
      <c r="K144" s="25">
        <f t="shared" si="34"/>
        <v>0</v>
      </c>
      <c r="L144" s="16" t="str">
        <f>IF(AND(L$10&gt;=$D144,L$11&lt;=$E144),VLOOKUP($F144,$K$2:Z$8,L$1,"Falsch"),"")</f>
        <v/>
      </c>
      <c r="M144" s="16" t="str">
        <f>IF(AND(M$10&gt;=$D144,M$11&lt;=$E144),VLOOKUP($F144,$K$2:AA$8,M$1,"Falsch"),"")</f>
        <v/>
      </c>
      <c r="N144" s="16" t="str">
        <f>IF(AND(N$10&gt;=$D144,N$11&lt;=$E144),VLOOKUP($F144,$K$2:AB$8,N$1,"Falsch"),"")</f>
        <v/>
      </c>
      <c r="O144" s="16" t="str">
        <f>IF(AND(O$10&gt;=$D144,O$11&lt;=$E144),VLOOKUP($F144,$K$2:AC$8,O$1,"Falsch"),"")</f>
        <v/>
      </c>
      <c r="P144" s="16" t="str">
        <f>IF(AND(P$10&gt;=$D144,P$11&lt;=$E144),VLOOKUP($F144,$K$2:AD$8,P$1,"Falsch"),"")</f>
        <v/>
      </c>
      <c r="Q144" s="16" t="str">
        <f>IF(AND(Q$10&gt;=$D144,Q$11&lt;=$E144),VLOOKUP($F144,$K$2:AE$8,Q$1,"Falsch"),"")</f>
        <v/>
      </c>
      <c r="R144" s="16" t="str">
        <f>IF(AND(R$10&gt;=$D144,R$11&lt;=$E144),VLOOKUP($F144,$K$2:AF$8,R$1,"Falsch"),"")</f>
        <v/>
      </c>
      <c r="S144" s="16" t="str">
        <f>IF(AND(S$10&gt;=$D144,S$11&lt;=$E144),VLOOKUP($F144,$K$2:AG$8,S$1,"Falsch"),"")</f>
        <v/>
      </c>
      <c r="T144" s="16" t="str">
        <f>IF(AND(T$10&gt;=$D144,T$11&lt;=$E144),VLOOKUP($F144,$K$2:AH$8,T$1,"Falsch"),"")</f>
        <v/>
      </c>
      <c r="U144" s="16" t="str">
        <f>IF(AND(U$10&gt;=$D144,U$11&lt;=$E144),VLOOKUP($F144,$K$2:AI$8,U$1,"Falsch"),"")</f>
        <v/>
      </c>
      <c r="V144" s="16" t="str">
        <f>IF(AND(V$10&gt;=$D144,V$11&lt;=$E144),VLOOKUP($F144,$K$2:AJ$8,V$1,"Falsch"),"")</f>
        <v/>
      </c>
      <c r="W144" s="16" t="str">
        <f>IF(AND(W$10&gt;=$D144,W$11&lt;=$E144),VLOOKUP($F144,$K$2:AK$8,W$1,"Falsch"),"")</f>
        <v/>
      </c>
      <c r="X144" s="16" t="str">
        <f>IF(AND(X$10&gt;=$D144,X$11&lt;=$E144),VLOOKUP($F144,$K$2:AL$8,X$1,"Falsch"),"")</f>
        <v/>
      </c>
      <c r="Y144" s="16" t="str">
        <f>IF(AND(Y$10&gt;=$D144,Y$11&lt;=$E144),VLOOKUP($F144,$K$2:AM$8,Y$1,"Falsch"),"")</f>
        <v/>
      </c>
      <c r="Z144" s="16" t="str">
        <f>IF(AND(Z$10&gt;=$D144,Z$11&lt;=$E144),VLOOKUP($F144,$K$2:AN$8,Z$1,"Falsch"),"")</f>
        <v/>
      </c>
      <c r="AA144" s="16" t="str">
        <f>IF(AND(AA$10&gt;=$D144,AA$11&lt;=$E144),VLOOKUP($F144,$K$2:AO$8,AA$1,"Falsch"),"")</f>
        <v/>
      </c>
      <c r="AB144" s="16" t="str">
        <f>IF(AND(AB$10&gt;=$D144,AB$11&lt;=$E144),VLOOKUP($F144,$K$2:AP$8,AB$1,"Falsch"),"")</f>
        <v/>
      </c>
      <c r="AC144" s="16" t="str">
        <f>IF(AND(AC$10&gt;=$D144,AC$11&lt;=$E144),VLOOKUP($F144,$K$2:AQ$8,AC$1,"Falsch"),"")</f>
        <v/>
      </c>
      <c r="AD144" s="16" t="str">
        <f>IF(AND(AD$10&gt;=$D144,AD$11&lt;=$E144),VLOOKUP($F144,$K$2:AR$8,AD$1,"Falsch"),"")</f>
        <v/>
      </c>
    </row>
    <row r="145" spans="9:30" x14ac:dyDescent="0.25">
      <c r="I145" s="21">
        <f t="shared" si="33"/>
        <v>0</v>
      </c>
      <c r="K145" s="25">
        <f t="shared" si="34"/>
        <v>0</v>
      </c>
      <c r="L145" s="16" t="str">
        <f>IF(AND(L$10&gt;=$D145,L$11&lt;=$E145),VLOOKUP($F145,$K$2:Z$8,L$1,"Falsch"),"")</f>
        <v/>
      </c>
      <c r="M145" s="16" t="str">
        <f>IF(AND(M$10&gt;=$D145,M$11&lt;=$E145),VLOOKUP($F145,$K$2:AA$8,M$1,"Falsch"),"")</f>
        <v/>
      </c>
      <c r="N145" s="16" t="str">
        <f>IF(AND(N$10&gt;=$D145,N$11&lt;=$E145),VLOOKUP($F145,$K$2:AB$8,N$1,"Falsch"),"")</f>
        <v/>
      </c>
      <c r="O145" s="16" t="str">
        <f>IF(AND(O$10&gt;=$D145,O$11&lt;=$E145),VLOOKUP($F145,$K$2:AC$8,O$1,"Falsch"),"")</f>
        <v/>
      </c>
      <c r="P145" s="16" t="str">
        <f>IF(AND(P$10&gt;=$D145,P$11&lt;=$E145),VLOOKUP($F145,$K$2:AD$8,P$1,"Falsch"),"")</f>
        <v/>
      </c>
      <c r="Q145" s="16" t="str">
        <f>IF(AND(Q$10&gt;=$D145,Q$11&lt;=$E145),VLOOKUP($F145,$K$2:AE$8,Q$1,"Falsch"),"")</f>
        <v/>
      </c>
      <c r="R145" s="16" t="str">
        <f>IF(AND(R$10&gt;=$D145,R$11&lt;=$E145),VLOOKUP($F145,$K$2:AF$8,R$1,"Falsch"),"")</f>
        <v/>
      </c>
      <c r="S145" s="16" t="str">
        <f>IF(AND(S$10&gt;=$D145,S$11&lt;=$E145),VLOOKUP($F145,$K$2:AG$8,S$1,"Falsch"),"")</f>
        <v/>
      </c>
      <c r="T145" s="16" t="str">
        <f>IF(AND(T$10&gt;=$D145,T$11&lt;=$E145),VLOOKUP($F145,$K$2:AH$8,T$1,"Falsch"),"")</f>
        <v/>
      </c>
      <c r="U145" s="16" t="str">
        <f>IF(AND(U$10&gt;=$D145,U$11&lt;=$E145),VLOOKUP($F145,$K$2:AI$8,U$1,"Falsch"),"")</f>
        <v/>
      </c>
      <c r="V145" s="16" t="str">
        <f>IF(AND(V$10&gt;=$D145,V$11&lt;=$E145),VLOOKUP($F145,$K$2:AJ$8,V$1,"Falsch"),"")</f>
        <v/>
      </c>
      <c r="W145" s="16" t="str">
        <f>IF(AND(W$10&gt;=$D145,W$11&lt;=$E145),VLOOKUP($F145,$K$2:AK$8,W$1,"Falsch"),"")</f>
        <v/>
      </c>
      <c r="X145" s="16" t="str">
        <f>IF(AND(X$10&gt;=$D145,X$11&lt;=$E145),VLOOKUP($F145,$K$2:AL$8,X$1,"Falsch"),"")</f>
        <v/>
      </c>
      <c r="Y145" s="16" t="str">
        <f>IF(AND(Y$10&gt;=$D145,Y$11&lt;=$E145),VLOOKUP($F145,$K$2:AM$8,Y$1,"Falsch"),"")</f>
        <v/>
      </c>
      <c r="Z145" s="16" t="str">
        <f>IF(AND(Z$10&gt;=$D145,Z$11&lt;=$E145),VLOOKUP($F145,$K$2:AN$8,Z$1,"Falsch"),"")</f>
        <v/>
      </c>
      <c r="AA145" s="16" t="str">
        <f>IF(AND(AA$10&gt;=$D145,AA$11&lt;=$E145),VLOOKUP($F145,$K$2:AO$8,AA$1,"Falsch"),"")</f>
        <v/>
      </c>
      <c r="AB145" s="16" t="str">
        <f>IF(AND(AB$10&gt;=$D145,AB$11&lt;=$E145),VLOOKUP($F145,$K$2:AP$8,AB$1,"Falsch"),"")</f>
        <v/>
      </c>
      <c r="AC145" s="16" t="str">
        <f>IF(AND(AC$10&gt;=$D145,AC$11&lt;=$E145),VLOOKUP($F145,$K$2:AQ$8,AC$1,"Falsch"),"")</f>
        <v/>
      </c>
      <c r="AD145" s="16" t="str">
        <f>IF(AND(AD$10&gt;=$D145,AD$11&lt;=$E145),VLOOKUP($F145,$K$2:AR$8,AD$1,"Falsch"),"")</f>
        <v/>
      </c>
    </row>
    <row r="146" spans="9:30" x14ac:dyDescent="0.25">
      <c r="I146" s="21">
        <f t="shared" si="33"/>
        <v>0</v>
      </c>
      <c r="K146" s="25">
        <f t="shared" si="34"/>
        <v>0</v>
      </c>
      <c r="L146" s="16" t="str">
        <f>IF(AND(L$10&gt;=$D146,L$11&lt;=$E146),VLOOKUP($F146,$K$2:Z$8,L$1,"Falsch"),"")</f>
        <v/>
      </c>
      <c r="M146" s="16" t="str">
        <f>IF(AND(M$10&gt;=$D146,M$11&lt;=$E146),VLOOKUP($F146,$K$2:AA$8,M$1,"Falsch"),"")</f>
        <v/>
      </c>
      <c r="N146" s="16" t="str">
        <f>IF(AND(N$10&gt;=$D146,N$11&lt;=$E146),VLOOKUP($F146,$K$2:AB$8,N$1,"Falsch"),"")</f>
        <v/>
      </c>
      <c r="O146" s="16" t="str">
        <f>IF(AND(O$10&gt;=$D146,O$11&lt;=$E146),VLOOKUP($F146,$K$2:AC$8,O$1,"Falsch"),"")</f>
        <v/>
      </c>
      <c r="P146" s="16" t="str">
        <f>IF(AND(P$10&gt;=$D146,P$11&lt;=$E146),VLOOKUP($F146,$K$2:AD$8,P$1,"Falsch"),"")</f>
        <v/>
      </c>
      <c r="Q146" s="16" t="str">
        <f>IF(AND(Q$10&gt;=$D146,Q$11&lt;=$E146),VLOOKUP($F146,$K$2:AE$8,Q$1,"Falsch"),"")</f>
        <v/>
      </c>
      <c r="R146" s="16" t="str">
        <f>IF(AND(R$10&gt;=$D146,R$11&lt;=$E146),VLOOKUP($F146,$K$2:AF$8,R$1,"Falsch"),"")</f>
        <v/>
      </c>
      <c r="S146" s="16" t="str">
        <f>IF(AND(S$10&gt;=$D146,S$11&lt;=$E146),VLOOKUP($F146,$K$2:AG$8,S$1,"Falsch"),"")</f>
        <v/>
      </c>
      <c r="T146" s="16" t="str">
        <f>IF(AND(T$10&gt;=$D146,T$11&lt;=$E146),VLOOKUP($F146,$K$2:AH$8,T$1,"Falsch"),"")</f>
        <v/>
      </c>
      <c r="U146" s="16" t="str">
        <f>IF(AND(U$10&gt;=$D146,U$11&lt;=$E146),VLOOKUP($F146,$K$2:AI$8,U$1,"Falsch"),"")</f>
        <v/>
      </c>
      <c r="V146" s="16" t="str">
        <f>IF(AND(V$10&gt;=$D146,V$11&lt;=$E146),VLOOKUP($F146,$K$2:AJ$8,V$1,"Falsch"),"")</f>
        <v/>
      </c>
      <c r="W146" s="16" t="str">
        <f>IF(AND(W$10&gt;=$D146,W$11&lt;=$E146),VLOOKUP($F146,$K$2:AK$8,W$1,"Falsch"),"")</f>
        <v/>
      </c>
      <c r="X146" s="16" t="str">
        <f>IF(AND(X$10&gt;=$D146,X$11&lt;=$E146),VLOOKUP($F146,$K$2:AL$8,X$1,"Falsch"),"")</f>
        <v/>
      </c>
      <c r="Y146" s="16" t="str">
        <f>IF(AND(Y$10&gt;=$D146,Y$11&lt;=$E146),VLOOKUP($F146,$K$2:AM$8,Y$1,"Falsch"),"")</f>
        <v/>
      </c>
      <c r="Z146" s="16" t="str">
        <f>IF(AND(Z$10&gt;=$D146,Z$11&lt;=$E146),VLOOKUP($F146,$K$2:AN$8,Z$1,"Falsch"),"")</f>
        <v/>
      </c>
      <c r="AA146" s="16" t="str">
        <f>IF(AND(AA$10&gt;=$D146,AA$11&lt;=$E146),VLOOKUP($F146,$K$2:AO$8,AA$1,"Falsch"),"")</f>
        <v/>
      </c>
      <c r="AB146" s="16" t="str">
        <f>IF(AND(AB$10&gt;=$D146,AB$11&lt;=$E146),VLOOKUP($F146,$K$2:AP$8,AB$1,"Falsch"),"")</f>
        <v/>
      </c>
      <c r="AC146" s="16" t="str">
        <f>IF(AND(AC$10&gt;=$D146,AC$11&lt;=$E146),VLOOKUP($F146,$K$2:AQ$8,AC$1,"Falsch"),"")</f>
        <v/>
      </c>
      <c r="AD146" s="16" t="str">
        <f>IF(AND(AD$10&gt;=$D146,AD$11&lt;=$E146),VLOOKUP($F146,$K$2:AR$8,AD$1,"Falsch"),"")</f>
        <v/>
      </c>
    </row>
    <row r="147" spans="9:30" x14ac:dyDescent="0.25">
      <c r="I147" s="21">
        <f t="shared" si="33"/>
        <v>0</v>
      </c>
      <c r="K147" s="25">
        <f t="shared" si="34"/>
        <v>0</v>
      </c>
      <c r="L147" s="16" t="str">
        <f>IF(AND(L$10&gt;=$D147,L$11&lt;=$E147),VLOOKUP($F147,$K$2:Z$8,L$1,"Falsch"),"")</f>
        <v/>
      </c>
      <c r="M147" s="16" t="str">
        <f>IF(AND(M$10&gt;=$D147,M$11&lt;=$E147),VLOOKUP($F147,$K$2:AA$8,M$1,"Falsch"),"")</f>
        <v/>
      </c>
      <c r="N147" s="16" t="str">
        <f>IF(AND(N$10&gt;=$D147,N$11&lt;=$E147),VLOOKUP($F147,$K$2:AB$8,N$1,"Falsch"),"")</f>
        <v/>
      </c>
      <c r="O147" s="16" t="str">
        <f>IF(AND(O$10&gt;=$D147,O$11&lt;=$E147),VLOOKUP($F147,$K$2:AC$8,O$1,"Falsch"),"")</f>
        <v/>
      </c>
      <c r="P147" s="16" t="str">
        <f>IF(AND(P$10&gt;=$D147,P$11&lt;=$E147),VLOOKUP($F147,$K$2:AD$8,P$1,"Falsch"),"")</f>
        <v/>
      </c>
      <c r="Q147" s="16" t="str">
        <f>IF(AND(Q$10&gt;=$D147,Q$11&lt;=$E147),VLOOKUP($F147,$K$2:AE$8,Q$1,"Falsch"),"")</f>
        <v/>
      </c>
      <c r="R147" s="16" t="str">
        <f>IF(AND(R$10&gt;=$D147,R$11&lt;=$E147),VLOOKUP($F147,$K$2:AF$8,R$1,"Falsch"),"")</f>
        <v/>
      </c>
      <c r="S147" s="16" t="str">
        <f>IF(AND(S$10&gt;=$D147,S$11&lt;=$E147),VLOOKUP($F147,$K$2:AG$8,S$1,"Falsch"),"")</f>
        <v/>
      </c>
      <c r="T147" s="16" t="str">
        <f>IF(AND(T$10&gt;=$D147,T$11&lt;=$E147),VLOOKUP($F147,$K$2:AH$8,T$1,"Falsch"),"")</f>
        <v/>
      </c>
      <c r="U147" s="16" t="str">
        <f>IF(AND(U$10&gt;=$D147,U$11&lt;=$E147),VLOOKUP($F147,$K$2:AI$8,U$1,"Falsch"),"")</f>
        <v/>
      </c>
      <c r="V147" s="16" t="str">
        <f>IF(AND(V$10&gt;=$D147,V$11&lt;=$E147),VLOOKUP($F147,$K$2:AJ$8,V$1,"Falsch"),"")</f>
        <v/>
      </c>
      <c r="W147" s="16" t="str">
        <f>IF(AND(W$10&gt;=$D147,W$11&lt;=$E147),VLOOKUP($F147,$K$2:AK$8,W$1,"Falsch"),"")</f>
        <v/>
      </c>
      <c r="X147" s="16" t="str">
        <f>IF(AND(X$10&gt;=$D147,X$11&lt;=$E147),VLOOKUP($F147,$K$2:AL$8,X$1,"Falsch"),"")</f>
        <v/>
      </c>
      <c r="Y147" s="16" t="str">
        <f>IF(AND(Y$10&gt;=$D147,Y$11&lt;=$E147),VLOOKUP($F147,$K$2:AM$8,Y$1,"Falsch"),"")</f>
        <v/>
      </c>
      <c r="Z147" s="16" t="str">
        <f>IF(AND(Z$10&gt;=$D147,Z$11&lt;=$E147),VLOOKUP($F147,$K$2:AN$8,Z$1,"Falsch"),"")</f>
        <v/>
      </c>
      <c r="AA147" s="16" t="str">
        <f>IF(AND(AA$10&gt;=$D147,AA$11&lt;=$E147),VLOOKUP($F147,$K$2:AO$8,AA$1,"Falsch"),"")</f>
        <v/>
      </c>
      <c r="AB147" s="16" t="str">
        <f>IF(AND(AB$10&gt;=$D147,AB$11&lt;=$E147),VLOOKUP($F147,$K$2:AP$8,AB$1,"Falsch"),"")</f>
        <v/>
      </c>
      <c r="AC147" s="16" t="str">
        <f>IF(AND(AC$10&gt;=$D147,AC$11&lt;=$E147),VLOOKUP($F147,$K$2:AQ$8,AC$1,"Falsch"),"")</f>
        <v/>
      </c>
      <c r="AD147" s="16" t="str">
        <f>IF(AND(AD$10&gt;=$D147,AD$11&lt;=$E147),VLOOKUP($F147,$K$2:AR$8,AD$1,"Falsch"),"")</f>
        <v/>
      </c>
    </row>
    <row r="148" spans="9:30" x14ac:dyDescent="0.25">
      <c r="I148" s="21">
        <f t="shared" si="33"/>
        <v>0</v>
      </c>
      <c r="K148" s="25">
        <f t="shared" si="34"/>
        <v>0</v>
      </c>
      <c r="L148" s="16" t="str">
        <f>IF(AND(L$10&gt;=$D148,L$11&lt;=$E148),VLOOKUP($F148,$K$2:Z$8,L$1,"Falsch"),"")</f>
        <v/>
      </c>
      <c r="M148" s="16" t="str">
        <f>IF(AND(M$10&gt;=$D148,M$11&lt;=$E148),VLOOKUP($F148,$K$2:AA$8,M$1,"Falsch"),"")</f>
        <v/>
      </c>
      <c r="N148" s="16" t="str">
        <f>IF(AND(N$10&gt;=$D148,N$11&lt;=$E148),VLOOKUP($F148,$K$2:AB$8,N$1,"Falsch"),"")</f>
        <v/>
      </c>
      <c r="O148" s="16" t="str">
        <f>IF(AND(O$10&gt;=$D148,O$11&lt;=$E148),VLOOKUP($F148,$K$2:AC$8,O$1,"Falsch"),"")</f>
        <v/>
      </c>
      <c r="P148" s="16" t="str">
        <f>IF(AND(P$10&gt;=$D148,P$11&lt;=$E148),VLOOKUP($F148,$K$2:AD$8,P$1,"Falsch"),"")</f>
        <v/>
      </c>
      <c r="Q148" s="16" t="str">
        <f>IF(AND(Q$10&gt;=$D148,Q$11&lt;=$E148),VLOOKUP($F148,$K$2:AE$8,Q$1,"Falsch"),"")</f>
        <v/>
      </c>
      <c r="R148" s="16" t="str">
        <f>IF(AND(R$10&gt;=$D148,R$11&lt;=$E148),VLOOKUP($F148,$K$2:AF$8,R$1,"Falsch"),"")</f>
        <v/>
      </c>
      <c r="S148" s="16" t="str">
        <f>IF(AND(S$10&gt;=$D148,S$11&lt;=$E148),VLOOKUP($F148,$K$2:AG$8,S$1,"Falsch"),"")</f>
        <v/>
      </c>
      <c r="T148" s="16" t="str">
        <f>IF(AND(T$10&gt;=$D148,T$11&lt;=$E148),VLOOKUP($F148,$K$2:AH$8,T$1,"Falsch"),"")</f>
        <v/>
      </c>
      <c r="U148" s="16" t="str">
        <f>IF(AND(U$10&gt;=$D148,U$11&lt;=$E148),VLOOKUP($F148,$K$2:AI$8,U$1,"Falsch"),"")</f>
        <v/>
      </c>
      <c r="V148" s="16" t="str">
        <f>IF(AND(V$10&gt;=$D148,V$11&lt;=$E148),VLOOKUP($F148,$K$2:AJ$8,V$1,"Falsch"),"")</f>
        <v/>
      </c>
      <c r="W148" s="16" t="str">
        <f>IF(AND(W$10&gt;=$D148,W$11&lt;=$E148),VLOOKUP($F148,$K$2:AK$8,W$1,"Falsch"),"")</f>
        <v/>
      </c>
      <c r="X148" s="16" t="str">
        <f>IF(AND(X$10&gt;=$D148,X$11&lt;=$E148),VLOOKUP($F148,$K$2:AL$8,X$1,"Falsch"),"")</f>
        <v/>
      </c>
      <c r="Y148" s="16" t="str">
        <f>IF(AND(Y$10&gt;=$D148,Y$11&lt;=$E148),VLOOKUP($F148,$K$2:AM$8,Y$1,"Falsch"),"")</f>
        <v/>
      </c>
      <c r="Z148" s="16" t="str">
        <f>IF(AND(Z$10&gt;=$D148,Z$11&lt;=$E148),VLOOKUP($F148,$K$2:AN$8,Z$1,"Falsch"),"")</f>
        <v/>
      </c>
      <c r="AA148" s="16" t="str">
        <f>IF(AND(AA$10&gt;=$D148,AA$11&lt;=$E148),VLOOKUP($F148,$K$2:AO$8,AA$1,"Falsch"),"")</f>
        <v/>
      </c>
      <c r="AB148" s="16" t="str">
        <f>IF(AND(AB$10&gt;=$D148,AB$11&lt;=$E148),VLOOKUP($F148,$K$2:AP$8,AB$1,"Falsch"),"")</f>
        <v/>
      </c>
      <c r="AC148" s="16" t="str">
        <f>IF(AND(AC$10&gt;=$D148,AC$11&lt;=$E148),VLOOKUP($F148,$K$2:AQ$8,AC$1,"Falsch"),"")</f>
        <v/>
      </c>
      <c r="AD148" s="16" t="str">
        <f>IF(AND(AD$10&gt;=$D148,AD$11&lt;=$E148),VLOOKUP($F148,$K$2:AR$8,AD$1,"Falsch"),"")</f>
        <v/>
      </c>
    </row>
    <row r="149" spans="9:30" x14ac:dyDescent="0.25">
      <c r="I149" s="21">
        <f t="shared" si="33"/>
        <v>0</v>
      </c>
      <c r="K149" s="25">
        <f t="shared" si="34"/>
        <v>0</v>
      </c>
      <c r="L149" s="16" t="str">
        <f>IF(AND(L$10&gt;=$D149,L$11&lt;=$E149),VLOOKUP($F149,$K$2:Z$8,L$1,"Falsch"),"")</f>
        <v/>
      </c>
      <c r="M149" s="16" t="str">
        <f>IF(AND(M$10&gt;=$D149,M$11&lt;=$E149),VLOOKUP($F149,$K$2:AA$8,M$1,"Falsch"),"")</f>
        <v/>
      </c>
      <c r="N149" s="16" t="str">
        <f>IF(AND(N$10&gt;=$D149,N$11&lt;=$E149),VLOOKUP($F149,$K$2:AB$8,N$1,"Falsch"),"")</f>
        <v/>
      </c>
      <c r="O149" s="16" t="str">
        <f>IF(AND(O$10&gt;=$D149,O$11&lt;=$E149),VLOOKUP($F149,$K$2:AC$8,O$1,"Falsch"),"")</f>
        <v/>
      </c>
      <c r="P149" s="16" t="str">
        <f>IF(AND(P$10&gt;=$D149,P$11&lt;=$E149),VLOOKUP($F149,$K$2:AD$8,P$1,"Falsch"),"")</f>
        <v/>
      </c>
      <c r="Q149" s="16" t="str">
        <f>IF(AND(Q$10&gt;=$D149,Q$11&lt;=$E149),VLOOKUP($F149,$K$2:AE$8,Q$1,"Falsch"),"")</f>
        <v/>
      </c>
      <c r="R149" s="16" t="str">
        <f>IF(AND(R$10&gt;=$D149,R$11&lt;=$E149),VLOOKUP($F149,$K$2:AF$8,R$1,"Falsch"),"")</f>
        <v/>
      </c>
      <c r="S149" s="16" t="str">
        <f>IF(AND(S$10&gt;=$D149,S$11&lt;=$E149),VLOOKUP($F149,$K$2:AG$8,S$1,"Falsch"),"")</f>
        <v/>
      </c>
      <c r="T149" s="16" t="str">
        <f>IF(AND(T$10&gt;=$D149,T$11&lt;=$E149),VLOOKUP($F149,$K$2:AH$8,T$1,"Falsch"),"")</f>
        <v/>
      </c>
      <c r="U149" s="16" t="str">
        <f>IF(AND(U$10&gt;=$D149,U$11&lt;=$E149),VLOOKUP($F149,$K$2:AI$8,U$1,"Falsch"),"")</f>
        <v/>
      </c>
      <c r="V149" s="16" t="str">
        <f>IF(AND(V$10&gt;=$D149,V$11&lt;=$E149),VLOOKUP($F149,$K$2:AJ$8,V$1,"Falsch"),"")</f>
        <v/>
      </c>
      <c r="W149" s="16" t="str">
        <f>IF(AND(W$10&gt;=$D149,W$11&lt;=$E149),VLOOKUP($F149,$K$2:AK$8,W$1,"Falsch"),"")</f>
        <v/>
      </c>
      <c r="X149" s="16" t="str">
        <f>IF(AND(X$10&gt;=$D149,X$11&lt;=$E149),VLOOKUP($F149,$K$2:AL$8,X$1,"Falsch"),"")</f>
        <v/>
      </c>
      <c r="Y149" s="16" t="str">
        <f>IF(AND(Y$10&gt;=$D149,Y$11&lt;=$E149),VLOOKUP($F149,$K$2:AM$8,Y$1,"Falsch"),"")</f>
        <v/>
      </c>
      <c r="Z149" s="16" t="str">
        <f>IF(AND(Z$10&gt;=$D149,Z$11&lt;=$E149),VLOOKUP($F149,$K$2:AN$8,Z$1,"Falsch"),"")</f>
        <v/>
      </c>
      <c r="AA149" s="16" t="str">
        <f>IF(AND(AA$10&gt;=$D149,AA$11&lt;=$E149),VLOOKUP($F149,$K$2:AO$8,AA$1,"Falsch"),"")</f>
        <v/>
      </c>
      <c r="AB149" s="16" t="str">
        <f>IF(AND(AB$10&gt;=$D149,AB$11&lt;=$E149),VLOOKUP($F149,$K$2:AP$8,AB$1,"Falsch"),"")</f>
        <v/>
      </c>
      <c r="AC149" s="16" t="str">
        <f>IF(AND(AC$10&gt;=$D149,AC$11&lt;=$E149),VLOOKUP($F149,$K$2:AQ$8,AC$1,"Falsch"),"")</f>
        <v/>
      </c>
      <c r="AD149" s="16" t="str">
        <f>IF(AND(AD$10&gt;=$D149,AD$11&lt;=$E149),VLOOKUP($F149,$K$2:AR$8,AD$1,"Falsch"),"")</f>
        <v/>
      </c>
    </row>
    <row r="150" spans="9:30" x14ac:dyDescent="0.25">
      <c r="I150" s="21">
        <f t="shared" si="33"/>
        <v>0</v>
      </c>
      <c r="K150" s="25">
        <f t="shared" si="34"/>
        <v>0</v>
      </c>
      <c r="L150" s="16" t="str">
        <f>IF(AND(L$10&gt;=$D150,L$11&lt;=$E150),VLOOKUP($F150,$K$2:Z$8,L$1,"Falsch"),"")</f>
        <v/>
      </c>
      <c r="M150" s="16" t="str">
        <f>IF(AND(M$10&gt;=$D150,M$11&lt;=$E150),VLOOKUP($F150,$K$2:AA$8,M$1,"Falsch"),"")</f>
        <v/>
      </c>
      <c r="N150" s="16" t="str">
        <f>IF(AND(N$10&gt;=$D150,N$11&lt;=$E150),VLOOKUP($F150,$K$2:AB$8,N$1,"Falsch"),"")</f>
        <v/>
      </c>
      <c r="O150" s="16" t="str">
        <f>IF(AND(O$10&gt;=$D150,O$11&lt;=$E150),VLOOKUP($F150,$K$2:AC$8,O$1,"Falsch"),"")</f>
        <v/>
      </c>
      <c r="P150" s="16" t="str">
        <f>IF(AND(P$10&gt;=$D150,P$11&lt;=$E150),VLOOKUP($F150,$K$2:AD$8,P$1,"Falsch"),"")</f>
        <v/>
      </c>
      <c r="Q150" s="16" t="str">
        <f>IF(AND(Q$10&gt;=$D150,Q$11&lt;=$E150),VLOOKUP($F150,$K$2:AE$8,Q$1,"Falsch"),"")</f>
        <v/>
      </c>
      <c r="R150" s="16" t="str">
        <f>IF(AND(R$10&gt;=$D150,R$11&lt;=$E150),VLOOKUP($F150,$K$2:AF$8,R$1,"Falsch"),"")</f>
        <v/>
      </c>
      <c r="S150" s="16" t="str">
        <f>IF(AND(S$10&gt;=$D150,S$11&lt;=$E150),VLOOKUP($F150,$K$2:AG$8,S$1,"Falsch"),"")</f>
        <v/>
      </c>
      <c r="T150" s="16" t="str">
        <f>IF(AND(T$10&gt;=$D150,T$11&lt;=$E150),VLOOKUP($F150,$K$2:AH$8,T$1,"Falsch"),"")</f>
        <v/>
      </c>
      <c r="U150" s="16" t="str">
        <f>IF(AND(U$10&gt;=$D150,U$11&lt;=$E150),VLOOKUP($F150,$K$2:AI$8,U$1,"Falsch"),"")</f>
        <v/>
      </c>
      <c r="V150" s="16" t="str">
        <f>IF(AND(V$10&gt;=$D150,V$11&lt;=$E150),VLOOKUP($F150,$K$2:AJ$8,V$1,"Falsch"),"")</f>
        <v/>
      </c>
      <c r="W150" s="16" t="str">
        <f>IF(AND(W$10&gt;=$D150,W$11&lt;=$E150),VLOOKUP($F150,$K$2:AK$8,W$1,"Falsch"),"")</f>
        <v/>
      </c>
      <c r="X150" s="16" t="str">
        <f>IF(AND(X$10&gt;=$D150,X$11&lt;=$E150),VLOOKUP($F150,$K$2:AL$8,X$1,"Falsch"),"")</f>
        <v/>
      </c>
      <c r="Y150" s="16" t="str">
        <f>IF(AND(Y$10&gt;=$D150,Y$11&lt;=$E150),VLOOKUP($F150,$K$2:AM$8,Y$1,"Falsch"),"")</f>
        <v/>
      </c>
      <c r="Z150" s="16" t="str">
        <f>IF(AND(Z$10&gt;=$D150,Z$11&lt;=$E150),VLOOKUP($F150,$K$2:AN$8,Z$1,"Falsch"),"")</f>
        <v/>
      </c>
      <c r="AA150" s="16" t="str">
        <f>IF(AND(AA$10&gt;=$D150,AA$11&lt;=$E150),VLOOKUP($F150,$K$2:AO$8,AA$1,"Falsch"),"")</f>
        <v/>
      </c>
      <c r="AB150" s="16" t="str">
        <f>IF(AND(AB$10&gt;=$D150,AB$11&lt;=$E150),VLOOKUP($F150,$K$2:AP$8,AB$1,"Falsch"),"")</f>
        <v/>
      </c>
      <c r="AC150" s="16" t="str">
        <f>IF(AND(AC$10&gt;=$D150,AC$11&lt;=$E150),VLOOKUP($F150,$K$2:AQ$8,AC$1,"Falsch"),"")</f>
        <v/>
      </c>
      <c r="AD150" s="16" t="str">
        <f>IF(AND(AD$10&gt;=$D150,AD$11&lt;=$E150),VLOOKUP($F150,$K$2:AR$8,AD$1,"Falsch"),"")</f>
        <v/>
      </c>
    </row>
    <row r="151" spans="9:30" x14ac:dyDescent="0.25">
      <c r="I151" s="21">
        <f t="shared" si="33"/>
        <v>0</v>
      </c>
      <c r="K151" s="25">
        <f t="shared" si="34"/>
        <v>0</v>
      </c>
      <c r="L151" s="16" t="str">
        <f>IF(AND(L$10&gt;=$D151,L$11&lt;=$E151),VLOOKUP($F151,$K$2:Z$8,L$1,"Falsch"),"")</f>
        <v/>
      </c>
      <c r="M151" s="16" t="str">
        <f>IF(AND(M$10&gt;=$D151,M$11&lt;=$E151),VLOOKUP($F151,$K$2:AA$8,M$1,"Falsch"),"")</f>
        <v/>
      </c>
      <c r="N151" s="16" t="str">
        <f>IF(AND(N$10&gt;=$D151,N$11&lt;=$E151),VLOOKUP($F151,$K$2:AB$8,N$1,"Falsch"),"")</f>
        <v/>
      </c>
      <c r="O151" s="16" t="str">
        <f>IF(AND(O$10&gt;=$D151,O$11&lt;=$E151),VLOOKUP($F151,$K$2:AC$8,O$1,"Falsch"),"")</f>
        <v/>
      </c>
      <c r="P151" s="16" t="str">
        <f>IF(AND(P$10&gt;=$D151,P$11&lt;=$E151),VLOOKUP($F151,$K$2:AD$8,P$1,"Falsch"),"")</f>
        <v/>
      </c>
      <c r="Q151" s="16" t="str">
        <f>IF(AND(Q$10&gt;=$D151,Q$11&lt;=$E151),VLOOKUP($F151,$K$2:AE$8,Q$1,"Falsch"),"")</f>
        <v/>
      </c>
      <c r="R151" s="16" t="str">
        <f>IF(AND(R$10&gt;=$D151,R$11&lt;=$E151),VLOOKUP($F151,$K$2:AF$8,R$1,"Falsch"),"")</f>
        <v/>
      </c>
      <c r="S151" s="16" t="str">
        <f>IF(AND(S$10&gt;=$D151,S$11&lt;=$E151),VLOOKUP($F151,$K$2:AG$8,S$1,"Falsch"),"")</f>
        <v/>
      </c>
      <c r="T151" s="16" t="str">
        <f>IF(AND(T$10&gt;=$D151,T$11&lt;=$E151),VLOOKUP($F151,$K$2:AH$8,T$1,"Falsch"),"")</f>
        <v/>
      </c>
      <c r="U151" s="16" t="str">
        <f>IF(AND(U$10&gt;=$D151,U$11&lt;=$E151),VLOOKUP($F151,$K$2:AI$8,U$1,"Falsch"),"")</f>
        <v/>
      </c>
      <c r="V151" s="16" t="str">
        <f>IF(AND(V$10&gt;=$D151,V$11&lt;=$E151),VLOOKUP($F151,$K$2:AJ$8,V$1,"Falsch"),"")</f>
        <v/>
      </c>
      <c r="W151" s="16" t="str">
        <f>IF(AND(W$10&gt;=$D151,W$11&lt;=$E151),VLOOKUP($F151,$K$2:AK$8,W$1,"Falsch"),"")</f>
        <v/>
      </c>
      <c r="X151" s="16" t="str">
        <f>IF(AND(X$10&gt;=$D151,X$11&lt;=$E151),VLOOKUP($F151,$K$2:AL$8,X$1,"Falsch"),"")</f>
        <v/>
      </c>
      <c r="Y151" s="16" t="str">
        <f>IF(AND(Y$10&gt;=$D151,Y$11&lt;=$E151),VLOOKUP($F151,$K$2:AM$8,Y$1,"Falsch"),"")</f>
        <v/>
      </c>
      <c r="Z151" s="16" t="str">
        <f>IF(AND(Z$10&gt;=$D151,Z$11&lt;=$E151),VLOOKUP($F151,$K$2:AN$8,Z$1,"Falsch"),"")</f>
        <v/>
      </c>
      <c r="AA151" s="16" t="str">
        <f>IF(AND(AA$10&gt;=$D151,AA$11&lt;=$E151),VLOOKUP($F151,$K$2:AO$8,AA$1,"Falsch"),"")</f>
        <v/>
      </c>
      <c r="AB151" s="16" t="str">
        <f>IF(AND(AB$10&gt;=$D151,AB$11&lt;=$E151),VLOOKUP($F151,$K$2:AP$8,AB$1,"Falsch"),"")</f>
        <v/>
      </c>
      <c r="AC151" s="16" t="str">
        <f>IF(AND(AC$10&gt;=$D151,AC$11&lt;=$E151),VLOOKUP($F151,$K$2:AQ$8,AC$1,"Falsch"),"")</f>
        <v/>
      </c>
      <c r="AD151" s="16" t="str">
        <f>IF(AND(AD$10&gt;=$D151,AD$11&lt;=$E151),VLOOKUP($F151,$K$2:AR$8,AD$1,"Falsch"),"")</f>
        <v/>
      </c>
    </row>
    <row r="152" spans="9:30" x14ac:dyDescent="0.25">
      <c r="I152" s="21">
        <f t="shared" ref="I152:I215" si="35">E152-D152</f>
        <v>0</v>
      </c>
      <c r="K152" s="25">
        <f t="shared" si="34"/>
        <v>0</v>
      </c>
      <c r="L152" s="16" t="str">
        <f>IF(AND(L$10&gt;=$D152,L$11&lt;=$E152),VLOOKUP($F152,$K$2:Z$8,L$1,"Falsch"),"")</f>
        <v/>
      </c>
      <c r="M152" s="16" t="str">
        <f>IF(AND(M$10&gt;=$D152,M$11&lt;=$E152),VLOOKUP($F152,$K$2:AA$8,M$1,"Falsch"),"")</f>
        <v/>
      </c>
      <c r="N152" s="16" t="str">
        <f>IF(AND(N$10&gt;=$D152,N$11&lt;=$E152),VLOOKUP($F152,$K$2:AB$8,N$1,"Falsch"),"")</f>
        <v/>
      </c>
      <c r="O152" s="16" t="str">
        <f>IF(AND(O$10&gt;=$D152,O$11&lt;=$E152),VLOOKUP($F152,$K$2:AC$8,O$1,"Falsch"),"")</f>
        <v/>
      </c>
      <c r="P152" s="16" t="str">
        <f>IF(AND(P$10&gt;=$D152,P$11&lt;=$E152),VLOOKUP($F152,$K$2:AD$8,P$1,"Falsch"),"")</f>
        <v/>
      </c>
      <c r="Q152" s="16" t="str">
        <f>IF(AND(Q$10&gt;=$D152,Q$11&lt;=$E152),VLOOKUP($F152,$K$2:AE$8,Q$1,"Falsch"),"")</f>
        <v/>
      </c>
      <c r="R152" s="16" t="str">
        <f>IF(AND(R$10&gt;=$D152,R$11&lt;=$E152),VLOOKUP($F152,$K$2:AF$8,R$1,"Falsch"),"")</f>
        <v/>
      </c>
      <c r="S152" s="16" t="str">
        <f>IF(AND(S$10&gt;=$D152,S$11&lt;=$E152),VLOOKUP($F152,$K$2:AG$8,S$1,"Falsch"),"")</f>
        <v/>
      </c>
      <c r="T152" s="16" t="str">
        <f>IF(AND(T$10&gt;=$D152,T$11&lt;=$E152),VLOOKUP($F152,$K$2:AH$8,T$1,"Falsch"),"")</f>
        <v/>
      </c>
      <c r="U152" s="16" t="str">
        <f>IF(AND(U$10&gt;=$D152,U$11&lt;=$E152),VLOOKUP($F152,$K$2:AI$8,U$1,"Falsch"),"")</f>
        <v/>
      </c>
      <c r="V152" s="16" t="str">
        <f>IF(AND(V$10&gt;=$D152,V$11&lt;=$E152),VLOOKUP($F152,$K$2:AJ$8,V$1,"Falsch"),"")</f>
        <v/>
      </c>
      <c r="W152" s="16" t="str">
        <f>IF(AND(W$10&gt;=$D152,W$11&lt;=$E152),VLOOKUP($F152,$K$2:AK$8,W$1,"Falsch"),"")</f>
        <v/>
      </c>
      <c r="X152" s="16" t="str">
        <f>IF(AND(X$10&gt;=$D152,X$11&lt;=$E152),VLOOKUP($F152,$K$2:AL$8,X$1,"Falsch"),"")</f>
        <v/>
      </c>
      <c r="Y152" s="16" t="str">
        <f>IF(AND(Y$10&gt;=$D152,Y$11&lt;=$E152),VLOOKUP($F152,$K$2:AM$8,Y$1,"Falsch"),"")</f>
        <v/>
      </c>
      <c r="Z152" s="16" t="str">
        <f>IF(AND(Z$10&gt;=$D152,Z$11&lt;=$E152),VLOOKUP($F152,$K$2:AN$8,Z$1,"Falsch"),"")</f>
        <v/>
      </c>
      <c r="AA152" s="16" t="str">
        <f>IF(AND(AA$10&gt;=$D152,AA$11&lt;=$E152),VLOOKUP($F152,$K$2:AO$8,AA$1,"Falsch"),"")</f>
        <v/>
      </c>
      <c r="AB152" s="16" t="str">
        <f>IF(AND(AB$10&gt;=$D152,AB$11&lt;=$E152),VLOOKUP($F152,$K$2:AP$8,AB$1,"Falsch"),"")</f>
        <v/>
      </c>
      <c r="AC152" s="16" t="str">
        <f>IF(AND(AC$10&gt;=$D152,AC$11&lt;=$E152),VLOOKUP($F152,$K$2:AQ$8,AC$1,"Falsch"),"")</f>
        <v/>
      </c>
      <c r="AD152" s="16" t="str">
        <f>IF(AND(AD$10&gt;=$D152,AD$11&lt;=$E152),VLOOKUP($F152,$K$2:AR$8,AD$1,"Falsch"),"")</f>
        <v/>
      </c>
    </row>
    <row r="153" spans="9:30" x14ac:dyDescent="0.25">
      <c r="I153" s="21">
        <f t="shared" si="35"/>
        <v>0</v>
      </c>
      <c r="K153" s="25">
        <f t="shared" si="34"/>
        <v>0</v>
      </c>
      <c r="L153" s="16" t="str">
        <f>IF(AND(L$10&gt;=$D153,L$11&lt;=$E153),VLOOKUP($F153,$K$2:Z$8,L$1,"Falsch"),"")</f>
        <v/>
      </c>
      <c r="M153" s="16" t="str">
        <f>IF(AND(M$10&gt;=$D153,M$11&lt;=$E153),VLOOKUP($F153,$K$2:AA$8,M$1,"Falsch"),"")</f>
        <v/>
      </c>
      <c r="N153" s="16" t="str">
        <f>IF(AND(N$10&gt;=$D153,N$11&lt;=$E153),VLOOKUP($F153,$K$2:AB$8,N$1,"Falsch"),"")</f>
        <v/>
      </c>
      <c r="O153" s="16" t="str">
        <f>IF(AND(O$10&gt;=$D153,O$11&lt;=$E153),VLOOKUP($F153,$K$2:AC$8,O$1,"Falsch"),"")</f>
        <v/>
      </c>
      <c r="P153" s="16" t="str">
        <f>IF(AND(P$10&gt;=$D153,P$11&lt;=$E153),VLOOKUP($F153,$K$2:AD$8,P$1,"Falsch"),"")</f>
        <v/>
      </c>
      <c r="Q153" s="16" t="str">
        <f>IF(AND(Q$10&gt;=$D153,Q$11&lt;=$E153),VLOOKUP($F153,$K$2:AE$8,Q$1,"Falsch"),"")</f>
        <v/>
      </c>
      <c r="R153" s="16" t="str">
        <f>IF(AND(R$10&gt;=$D153,R$11&lt;=$E153),VLOOKUP($F153,$K$2:AF$8,R$1,"Falsch"),"")</f>
        <v/>
      </c>
      <c r="S153" s="16" t="str">
        <f>IF(AND(S$10&gt;=$D153,S$11&lt;=$E153),VLOOKUP($F153,$K$2:AG$8,S$1,"Falsch"),"")</f>
        <v/>
      </c>
      <c r="T153" s="16" t="str">
        <f>IF(AND(T$10&gt;=$D153,T$11&lt;=$E153),VLOOKUP($F153,$K$2:AH$8,T$1,"Falsch"),"")</f>
        <v/>
      </c>
      <c r="U153" s="16" t="str">
        <f>IF(AND(U$10&gt;=$D153,U$11&lt;=$E153),VLOOKUP($F153,$K$2:AI$8,U$1,"Falsch"),"")</f>
        <v/>
      </c>
      <c r="V153" s="16" t="str">
        <f>IF(AND(V$10&gt;=$D153,V$11&lt;=$E153),VLOOKUP($F153,$K$2:AJ$8,V$1,"Falsch"),"")</f>
        <v/>
      </c>
      <c r="W153" s="16" t="str">
        <f>IF(AND(W$10&gt;=$D153,W$11&lt;=$E153),VLOOKUP($F153,$K$2:AK$8,W$1,"Falsch"),"")</f>
        <v/>
      </c>
      <c r="X153" s="16" t="str">
        <f>IF(AND(X$10&gt;=$D153,X$11&lt;=$E153),VLOOKUP($F153,$K$2:AL$8,X$1,"Falsch"),"")</f>
        <v/>
      </c>
      <c r="Y153" s="16" t="str">
        <f>IF(AND(Y$10&gt;=$D153,Y$11&lt;=$E153),VLOOKUP($F153,$K$2:AM$8,Y$1,"Falsch"),"")</f>
        <v/>
      </c>
      <c r="Z153" s="16" t="str">
        <f>IF(AND(Z$10&gt;=$D153,Z$11&lt;=$E153),VLOOKUP($F153,$K$2:AN$8,Z$1,"Falsch"),"")</f>
        <v/>
      </c>
      <c r="AA153" s="16" t="str">
        <f>IF(AND(AA$10&gt;=$D153,AA$11&lt;=$E153),VLOOKUP($F153,$K$2:AO$8,AA$1,"Falsch"),"")</f>
        <v/>
      </c>
      <c r="AB153" s="16" t="str">
        <f>IF(AND(AB$10&gt;=$D153,AB$11&lt;=$E153),VLOOKUP($F153,$K$2:AP$8,AB$1,"Falsch"),"")</f>
        <v/>
      </c>
      <c r="AC153" s="16" t="str">
        <f>IF(AND(AC$10&gt;=$D153,AC$11&lt;=$E153),VLOOKUP($F153,$K$2:AQ$8,AC$1,"Falsch"),"")</f>
        <v/>
      </c>
      <c r="AD153" s="16" t="str">
        <f>IF(AND(AD$10&gt;=$D153,AD$11&lt;=$E153),VLOOKUP($F153,$K$2:AR$8,AD$1,"Falsch"),"")</f>
        <v/>
      </c>
    </row>
    <row r="154" spans="9:30" x14ac:dyDescent="0.25">
      <c r="I154" s="21">
        <f t="shared" si="35"/>
        <v>0</v>
      </c>
      <c r="K154" s="25">
        <f t="shared" si="34"/>
        <v>0</v>
      </c>
      <c r="L154" s="16" t="str">
        <f>IF(AND(L$10&gt;=$D154,L$11&lt;=$E154),VLOOKUP($F154,$K$2:Z$8,L$1,"Falsch"),"")</f>
        <v/>
      </c>
      <c r="M154" s="16" t="str">
        <f>IF(AND(M$10&gt;=$D154,M$11&lt;=$E154),VLOOKUP($F154,$K$2:AA$8,M$1,"Falsch"),"")</f>
        <v/>
      </c>
      <c r="N154" s="16" t="str">
        <f>IF(AND(N$10&gt;=$D154,N$11&lt;=$E154),VLOOKUP($F154,$K$2:AB$8,N$1,"Falsch"),"")</f>
        <v/>
      </c>
      <c r="O154" s="16" t="str">
        <f>IF(AND(O$10&gt;=$D154,O$11&lt;=$E154),VLOOKUP($F154,$K$2:AC$8,O$1,"Falsch"),"")</f>
        <v/>
      </c>
      <c r="P154" s="16" t="str">
        <f>IF(AND(P$10&gt;=$D154,P$11&lt;=$E154),VLOOKUP($F154,$K$2:AD$8,P$1,"Falsch"),"")</f>
        <v/>
      </c>
      <c r="Q154" s="16" t="str">
        <f>IF(AND(Q$10&gt;=$D154,Q$11&lt;=$E154),VLOOKUP($F154,$K$2:AE$8,Q$1,"Falsch"),"")</f>
        <v/>
      </c>
      <c r="R154" s="16" t="str">
        <f>IF(AND(R$10&gt;=$D154,R$11&lt;=$E154),VLOOKUP($F154,$K$2:AF$8,R$1,"Falsch"),"")</f>
        <v/>
      </c>
      <c r="S154" s="16" t="str">
        <f>IF(AND(S$10&gt;=$D154,S$11&lt;=$E154),VLOOKUP($F154,$K$2:AG$8,S$1,"Falsch"),"")</f>
        <v/>
      </c>
      <c r="T154" s="16" t="str">
        <f>IF(AND(T$10&gt;=$D154,T$11&lt;=$E154),VLOOKUP($F154,$K$2:AH$8,T$1,"Falsch"),"")</f>
        <v/>
      </c>
      <c r="U154" s="16" t="str">
        <f>IF(AND(U$10&gt;=$D154,U$11&lt;=$E154),VLOOKUP($F154,$K$2:AI$8,U$1,"Falsch"),"")</f>
        <v/>
      </c>
      <c r="V154" s="16" t="str">
        <f>IF(AND(V$10&gt;=$D154,V$11&lt;=$E154),VLOOKUP($F154,$K$2:AJ$8,V$1,"Falsch"),"")</f>
        <v/>
      </c>
      <c r="W154" s="16" t="str">
        <f>IF(AND(W$10&gt;=$D154,W$11&lt;=$E154),VLOOKUP($F154,$K$2:AK$8,W$1,"Falsch"),"")</f>
        <v/>
      </c>
      <c r="X154" s="16" t="str">
        <f>IF(AND(X$10&gt;=$D154,X$11&lt;=$E154),VLOOKUP($F154,$K$2:AL$8,X$1,"Falsch"),"")</f>
        <v/>
      </c>
      <c r="Y154" s="16" t="str">
        <f>IF(AND(Y$10&gt;=$D154,Y$11&lt;=$E154),VLOOKUP($F154,$K$2:AM$8,Y$1,"Falsch"),"")</f>
        <v/>
      </c>
      <c r="Z154" s="16" t="str">
        <f>IF(AND(Z$10&gt;=$D154,Z$11&lt;=$E154),VLOOKUP($F154,$K$2:AN$8,Z$1,"Falsch"),"")</f>
        <v/>
      </c>
      <c r="AA154" s="16" t="str">
        <f>IF(AND(AA$10&gt;=$D154,AA$11&lt;=$E154),VLOOKUP($F154,$K$2:AO$8,AA$1,"Falsch"),"")</f>
        <v/>
      </c>
      <c r="AB154" s="16" t="str">
        <f>IF(AND(AB$10&gt;=$D154,AB$11&lt;=$E154),VLOOKUP($F154,$K$2:AP$8,AB$1,"Falsch"),"")</f>
        <v/>
      </c>
      <c r="AC154" s="16" t="str">
        <f>IF(AND(AC$10&gt;=$D154,AC$11&lt;=$E154),VLOOKUP($F154,$K$2:AQ$8,AC$1,"Falsch"),"")</f>
        <v/>
      </c>
      <c r="AD154" s="16" t="str">
        <f>IF(AND(AD$10&gt;=$D154,AD$11&lt;=$E154),VLOOKUP($F154,$K$2:AR$8,AD$1,"Falsch"),"")</f>
        <v/>
      </c>
    </row>
    <row r="155" spans="9:30" x14ac:dyDescent="0.25">
      <c r="I155" s="21">
        <f t="shared" si="35"/>
        <v>0</v>
      </c>
      <c r="K155" s="25">
        <f t="shared" si="34"/>
        <v>0</v>
      </c>
      <c r="L155" s="16" t="str">
        <f>IF(AND(L$10&gt;=$D155,L$11&lt;=$E155),VLOOKUP($F155,$K$2:Z$8,L$1,"Falsch"),"")</f>
        <v/>
      </c>
      <c r="M155" s="16" t="str">
        <f>IF(AND(M$10&gt;=$D155,M$11&lt;=$E155),VLOOKUP($F155,$K$2:AA$8,M$1,"Falsch"),"")</f>
        <v/>
      </c>
      <c r="N155" s="16" t="str">
        <f>IF(AND(N$10&gt;=$D155,N$11&lt;=$E155),VLOOKUP($F155,$K$2:AB$8,N$1,"Falsch"),"")</f>
        <v/>
      </c>
      <c r="O155" s="16" t="str">
        <f>IF(AND(O$10&gt;=$D155,O$11&lt;=$E155),VLOOKUP($F155,$K$2:AC$8,O$1,"Falsch"),"")</f>
        <v/>
      </c>
      <c r="P155" s="16" t="str">
        <f>IF(AND(P$10&gt;=$D155,P$11&lt;=$E155),VLOOKUP($F155,$K$2:AD$8,P$1,"Falsch"),"")</f>
        <v/>
      </c>
      <c r="Q155" s="16" t="str">
        <f>IF(AND(Q$10&gt;=$D155,Q$11&lt;=$E155),VLOOKUP($F155,$K$2:AE$8,Q$1,"Falsch"),"")</f>
        <v/>
      </c>
      <c r="R155" s="16" t="str">
        <f>IF(AND(R$10&gt;=$D155,R$11&lt;=$E155),VLOOKUP($F155,$K$2:AF$8,R$1,"Falsch"),"")</f>
        <v/>
      </c>
      <c r="S155" s="16" t="str">
        <f>IF(AND(S$10&gt;=$D155,S$11&lt;=$E155),VLOOKUP($F155,$K$2:AG$8,S$1,"Falsch"),"")</f>
        <v/>
      </c>
      <c r="T155" s="16" t="str">
        <f>IF(AND(T$10&gt;=$D155,T$11&lt;=$E155),VLOOKUP($F155,$K$2:AH$8,T$1,"Falsch"),"")</f>
        <v/>
      </c>
      <c r="U155" s="16" t="str">
        <f>IF(AND(U$10&gt;=$D155,U$11&lt;=$E155),VLOOKUP($F155,$K$2:AI$8,U$1,"Falsch"),"")</f>
        <v/>
      </c>
      <c r="V155" s="16" t="str">
        <f>IF(AND(V$10&gt;=$D155,V$11&lt;=$E155),VLOOKUP($F155,$K$2:AJ$8,V$1,"Falsch"),"")</f>
        <v/>
      </c>
      <c r="W155" s="16" t="str">
        <f>IF(AND(W$10&gt;=$D155,W$11&lt;=$E155),VLOOKUP($F155,$K$2:AK$8,W$1,"Falsch"),"")</f>
        <v/>
      </c>
      <c r="X155" s="16" t="str">
        <f>IF(AND(X$10&gt;=$D155,X$11&lt;=$E155),VLOOKUP($F155,$K$2:AL$8,X$1,"Falsch"),"")</f>
        <v/>
      </c>
      <c r="Y155" s="16" t="str">
        <f>IF(AND(Y$10&gt;=$D155,Y$11&lt;=$E155),VLOOKUP($F155,$K$2:AM$8,Y$1,"Falsch"),"")</f>
        <v/>
      </c>
      <c r="Z155" s="16" t="str">
        <f>IF(AND(Z$10&gt;=$D155,Z$11&lt;=$E155),VLOOKUP($F155,$K$2:AN$8,Z$1,"Falsch"),"")</f>
        <v/>
      </c>
      <c r="AA155" s="16" t="str">
        <f>IF(AND(AA$10&gt;=$D155,AA$11&lt;=$E155),VLOOKUP($F155,$K$2:AO$8,AA$1,"Falsch"),"")</f>
        <v/>
      </c>
      <c r="AB155" s="16" t="str">
        <f>IF(AND(AB$10&gt;=$D155,AB$11&lt;=$E155),VLOOKUP($F155,$K$2:AP$8,AB$1,"Falsch"),"")</f>
        <v/>
      </c>
      <c r="AC155" s="16" t="str">
        <f>IF(AND(AC$10&gt;=$D155,AC$11&lt;=$E155),VLOOKUP($F155,$K$2:AQ$8,AC$1,"Falsch"),"")</f>
        <v/>
      </c>
      <c r="AD155" s="16" t="str">
        <f>IF(AND(AD$10&gt;=$D155,AD$11&lt;=$E155),VLOOKUP($F155,$K$2:AR$8,AD$1,"Falsch"),"")</f>
        <v/>
      </c>
    </row>
    <row r="156" spans="9:30" x14ac:dyDescent="0.25">
      <c r="I156" s="21">
        <f t="shared" si="35"/>
        <v>0</v>
      </c>
      <c r="K156" s="25">
        <f t="shared" si="34"/>
        <v>0</v>
      </c>
      <c r="L156" s="16" t="str">
        <f>IF(AND(L$10&gt;=$D156,L$11&lt;=$E156),VLOOKUP($F156,$K$2:Z$8,L$1,"Falsch"),"")</f>
        <v/>
      </c>
      <c r="M156" s="16" t="str">
        <f>IF(AND(M$10&gt;=$D156,M$11&lt;=$E156),VLOOKUP($F156,$K$2:AA$8,M$1,"Falsch"),"")</f>
        <v/>
      </c>
      <c r="N156" s="16" t="str">
        <f>IF(AND(N$10&gt;=$D156,N$11&lt;=$E156),VLOOKUP($F156,$K$2:AB$8,N$1,"Falsch"),"")</f>
        <v/>
      </c>
      <c r="O156" s="16" t="str">
        <f>IF(AND(O$10&gt;=$D156,O$11&lt;=$E156),VLOOKUP($F156,$K$2:AC$8,O$1,"Falsch"),"")</f>
        <v/>
      </c>
      <c r="P156" s="16" t="str">
        <f>IF(AND(P$10&gt;=$D156,P$11&lt;=$E156),VLOOKUP($F156,$K$2:AD$8,P$1,"Falsch"),"")</f>
        <v/>
      </c>
      <c r="Q156" s="16" t="str">
        <f>IF(AND(Q$10&gt;=$D156,Q$11&lt;=$E156),VLOOKUP($F156,$K$2:AE$8,Q$1,"Falsch"),"")</f>
        <v/>
      </c>
      <c r="R156" s="16" t="str">
        <f>IF(AND(R$10&gt;=$D156,R$11&lt;=$E156),VLOOKUP($F156,$K$2:AF$8,R$1,"Falsch"),"")</f>
        <v/>
      </c>
      <c r="S156" s="16" t="str">
        <f>IF(AND(S$10&gt;=$D156,S$11&lt;=$E156),VLOOKUP($F156,$K$2:AG$8,S$1,"Falsch"),"")</f>
        <v/>
      </c>
      <c r="T156" s="16" t="str">
        <f>IF(AND(T$10&gt;=$D156,T$11&lt;=$E156),VLOOKUP($F156,$K$2:AH$8,T$1,"Falsch"),"")</f>
        <v/>
      </c>
      <c r="U156" s="16" t="str">
        <f>IF(AND(U$10&gt;=$D156,U$11&lt;=$E156),VLOOKUP($F156,$K$2:AI$8,U$1,"Falsch"),"")</f>
        <v/>
      </c>
      <c r="V156" s="16" t="str">
        <f>IF(AND(V$10&gt;=$D156,V$11&lt;=$E156),VLOOKUP($F156,$K$2:AJ$8,V$1,"Falsch"),"")</f>
        <v/>
      </c>
      <c r="W156" s="16" t="str">
        <f>IF(AND(W$10&gt;=$D156,W$11&lt;=$E156),VLOOKUP($F156,$K$2:AK$8,W$1,"Falsch"),"")</f>
        <v/>
      </c>
      <c r="X156" s="16" t="str">
        <f>IF(AND(X$10&gt;=$D156,X$11&lt;=$E156),VLOOKUP($F156,$K$2:AL$8,X$1,"Falsch"),"")</f>
        <v/>
      </c>
      <c r="Y156" s="16" t="str">
        <f>IF(AND(Y$10&gt;=$D156,Y$11&lt;=$E156),VLOOKUP($F156,$K$2:AM$8,Y$1,"Falsch"),"")</f>
        <v/>
      </c>
      <c r="Z156" s="16" t="str">
        <f>IF(AND(Z$10&gt;=$D156,Z$11&lt;=$E156),VLOOKUP($F156,$K$2:AN$8,Z$1,"Falsch"),"")</f>
        <v/>
      </c>
      <c r="AA156" s="16" t="str">
        <f>IF(AND(AA$10&gt;=$D156,AA$11&lt;=$E156),VLOOKUP($F156,$K$2:AO$8,AA$1,"Falsch"),"")</f>
        <v/>
      </c>
      <c r="AB156" s="16" t="str">
        <f>IF(AND(AB$10&gt;=$D156,AB$11&lt;=$E156),VLOOKUP($F156,$K$2:AP$8,AB$1,"Falsch"),"")</f>
        <v/>
      </c>
      <c r="AC156" s="16" t="str">
        <f>IF(AND(AC$10&gt;=$D156,AC$11&lt;=$E156),VLOOKUP($F156,$K$2:AQ$8,AC$1,"Falsch"),"")</f>
        <v/>
      </c>
      <c r="AD156" s="16" t="str">
        <f>IF(AND(AD$10&gt;=$D156,AD$11&lt;=$E156),VLOOKUP($F156,$K$2:AR$8,AD$1,"Falsch"),"")</f>
        <v/>
      </c>
    </row>
    <row r="157" spans="9:30" x14ac:dyDescent="0.25">
      <c r="I157" s="21">
        <f t="shared" si="35"/>
        <v>0</v>
      </c>
      <c r="K157" s="25">
        <f t="shared" si="34"/>
        <v>0</v>
      </c>
      <c r="L157" s="16" t="str">
        <f>IF(AND(L$10&gt;=$D157,L$11&lt;=$E157),VLOOKUP($F157,$K$2:Z$8,L$1,"Falsch"),"")</f>
        <v/>
      </c>
      <c r="M157" s="16" t="str">
        <f>IF(AND(M$10&gt;=$D157,M$11&lt;=$E157),VLOOKUP($F157,$K$2:AA$8,M$1,"Falsch"),"")</f>
        <v/>
      </c>
      <c r="N157" s="16" t="str">
        <f>IF(AND(N$10&gt;=$D157,N$11&lt;=$E157),VLOOKUP($F157,$K$2:AB$8,N$1,"Falsch"),"")</f>
        <v/>
      </c>
      <c r="O157" s="16" t="str">
        <f>IF(AND(O$10&gt;=$D157,O$11&lt;=$E157),VLOOKUP($F157,$K$2:AC$8,O$1,"Falsch"),"")</f>
        <v/>
      </c>
      <c r="P157" s="16" t="str">
        <f>IF(AND(P$10&gt;=$D157,P$11&lt;=$E157),VLOOKUP($F157,$K$2:AD$8,P$1,"Falsch"),"")</f>
        <v/>
      </c>
      <c r="Q157" s="16" t="str">
        <f>IF(AND(Q$10&gt;=$D157,Q$11&lt;=$E157),VLOOKUP($F157,$K$2:AE$8,Q$1,"Falsch"),"")</f>
        <v/>
      </c>
      <c r="R157" s="16" t="str">
        <f>IF(AND(R$10&gt;=$D157,R$11&lt;=$E157),VLOOKUP($F157,$K$2:AF$8,R$1,"Falsch"),"")</f>
        <v/>
      </c>
      <c r="S157" s="16" t="str">
        <f>IF(AND(S$10&gt;=$D157,S$11&lt;=$E157),VLOOKUP($F157,$K$2:AG$8,S$1,"Falsch"),"")</f>
        <v/>
      </c>
      <c r="T157" s="16" t="str">
        <f>IF(AND(T$10&gt;=$D157,T$11&lt;=$E157),VLOOKUP($F157,$K$2:AH$8,T$1,"Falsch"),"")</f>
        <v/>
      </c>
      <c r="U157" s="16" t="str">
        <f>IF(AND(U$10&gt;=$D157,U$11&lt;=$E157),VLOOKUP($F157,$K$2:AI$8,U$1,"Falsch"),"")</f>
        <v/>
      </c>
      <c r="V157" s="16" t="str">
        <f>IF(AND(V$10&gt;=$D157,V$11&lt;=$E157),VLOOKUP($F157,$K$2:AJ$8,V$1,"Falsch"),"")</f>
        <v/>
      </c>
      <c r="W157" s="16" t="str">
        <f>IF(AND(W$10&gt;=$D157,W$11&lt;=$E157),VLOOKUP($F157,$K$2:AK$8,W$1,"Falsch"),"")</f>
        <v/>
      </c>
      <c r="X157" s="16" t="str">
        <f>IF(AND(X$10&gt;=$D157,X$11&lt;=$E157),VLOOKUP($F157,$K$2:AL$8,X$1,"Falsch"),"")</f>
        <v/>
      </c>
      <c r="Y157" s="16" t="str">
        <f>IF(AND(Y$10&gt;=$D157,Y$11&lt;=$E157),VLOOKUP($F157,$K$2:AM$8,Y$1,"Falsch"),"")</f>
        <v/>
      </c>
      <c r="Z157" s="16" t="str">
        <f>IF(AND(Z$10&gt;=$D157,Z$11&lt;=$E157),VLOOKUP($F157,$K$2:AN$8,Z$1,"Falsch"),"")</f>
        <v/>
      </c>
      <c r="AA157" s="16" t="str">
        <f>IF(AND(AA$10&gt;=$D157,AA$11&lt;=$E157),VLOOKUP($F157,$K$2:AO$8,AA$1,"Falsch"),"")</f>
        <v/>
      </c>
      <c r="AB157" s="16" t="str">
        <f>IF(AND(AB$10&gt;=$D157,AB$11&lt;=$E157),VLOOKUP($F157,$K$2:AP$8,AB$1,"Falsch"),"")</f>
        <v/>
      </c>
      <c r="AC157" s="16" t="str">
        <f>IF(AND(AC$10&gt;=$D157,AC$11&lt;=$E157),VLOOKUP($F157,$K$2:AQ$8,AC$1,"Falsch"),"")</f>
        <v/>
      </c>
      <c r="AD157" s="16" t="str">
        <f>IF(AND(AD$10&gt;=$D157,AD$11&lt;=$E157),VLOOKUP($F157,$K$2:AR$8,AD$1,"Falsch"),"")</f>
        <v/>
      </c>
    </row>
    <row r="158" spans="9:30" x14ac:dyDescent="0.25">
      <c r="I158" s="21">
        <f t="shared" si="35"/>
        <v>0</v>
      </c>
      <c r="K158" s="25">
        <f t="shared" si="34"/>
        <v>0</v>
      </c>
      <c r="L158" s="16" t="str">
        <f>IF(AND(L$10&gt;=$D158,L$11&lt;=$E158),VLOOKUP($F158,$K$2:Z$8,L$1,"Falsch"),"")</f>
        <v/>
      </c>
      <c r="M158" s="16" t="str">
        <f>IF(AND(M$10&gt;=$D158,M$11&lt;=$E158),VLOOKUP($F158,$K$2:AA$8,M$1,"Falsch"),"")</f>
        <v/>
      </c>
      <c r="N158" s="16" t="str">
        <f>IF(AND(N$10&gt;=$D158,N$11&lt;=$E158),VLOOKUP($F158,$K$2:AB$8,N$1,"Falsch"),"")</f>
        <v/>
      </c>
      <c r="O158" s="16" t="str">
        <f>IF(AND(O$10&gt;=$D158,O$11&lt;=$E158),VLOOKUP($F158,$K$2:AC$8,O$1,"Falsch"),"")</f>
        <v/>
      </c>
      <c r="P158" s="16" t="str">
        <f>IF(AND(P$10&gt;=$D158,P$11&lt;=$E158),VLOOKUP($F158,$K$2:AD$8,P$1,"Falsch"),"")</f>
        <v/>
      </c>
      <c r="Q158" s="16" t="str">
        <f>IF(AND(Q$10&gt;=$D158,Q$11&lt;=$E158),VLOOKUP($F158,$K$2:AE$8,Q$1,"Falsch"),"")</f>
        <v/>
      </c>
      <c r="R158" s="16" t="str">
        <f>IF(AND(R$10&gt;=$D158,R$11&lt;=$E158),VLOOKUP($F158,$K$2:AF$8,R$1,"Falsch"),"")</f>
        <v/>
      </c>
      <c r="S158" s="16" t="str">
        <f>IF(AND(S$10&gt;=$D158,S$11&lt;=$E158),VLOOKUP($F158,$K$2:AG$8,S$1,"Falsch"),"")</f>
        <v/>
      </c>
      <c r="T158" s="16" t="str">
        <f>IF(AND(T$10&gt;=$D158,T$11&lt;=$E158),VLOOKUP($F158,$K$2:AH$8,T$1,"Falsch"),"")</f>
        <v/>
      </c>
      <c r="U158" s="16" t="str">
        <f>IF(AND(U$10&gt;=$D158,U$11&lt;=$E158),VLOOKUP($F158,$K$2:AI$8,U$1,"Falsch"),"")</f>
        <v/>
      </c>
      <c r="V158" s="16" t="str">
        <f>IF(AND(V$10&gt;=$D158,V$11&lt;=$E158),VLOOKUP($F158,$K$2:AJ$8,V$1,"Falsch"),"")</f>
        <v/>
      </c>
      <c r="W158" s="16" t="str">
        <f>IF(AND(W$10&gt;=$D158,W$11&lt;=$E158),VLOOKUP($F158,$K$2:AK$8,W$1,"Falsch"),"")</f>
        <v/>
      </c>
      <c r="X158" s="16" t="str">
        <f>IF(AND(X$10&gt;=$D158,X$11&lt;=$E158),VLOOKUP($F158,$K$2:AL$8,X$1,"Falsch"),"")</f>
        <v/>
      </c>
      <c r="Y158" s="16" t="str">
        <f>IF(AND(Y$10&gt;=$D158,Y$11&lt;=$E158),VLOOKUP($F158,$K$2:AM$8,Y$1,"Falsch"),"")</f>
        <v/>
      </c>
      <c r="Z158" s="16" t="str">
        <f>IF(AND(Z$10&gt;=$D158,Z$11&lt;=$E158),VLOOKUP($F158,$K$2:AN$8,Z$1,"Falsch"),"")</f>
        <v/>
      </c>
      <c r="AA158" s="16" t="str">
        <f>IF(AND(AA$10&gt;=$D158,AA$11&lt;=$E158),VLOOKUP($F158,$K$2:AO$8,AA$1,"Falsch"),"")</f>
        <v/>
      </c>
      <c r="AB158" s="16" t="str">
        <f>IF(AND(AB$10&gt;=$D158,AB$11&lt;=$E158),VLOOKUP($F158,$K$2:AP$8,AB$1,"Falsch"),"")</f>
        <v/>
      </c>
      <c r="AC158" s="16" t="str">
        <f>IF(AND(AC$10&gt;=$D158,AC$11&lt;=$E158),VLOOKUP($F158,$K$2:AQ$8,AC$1,"Falsch"),"")</f>
        <v/>
      </c>
      <c r="AD158" s="16" t="str">
        <f>IF(AND(AD$10&gt;=$D158,AD$11&lt;=$E158),VLOOKUP($F158,$K$2:AR$8,AD$1,"Falsch"),"")</f>
        <v/>
      </c>
    </row>
    <row r="159" spans="9:30" x14ac:dyDescent="0.25">
      <c r="I159" s="21">
        <f t="shared" si="35"/>
        <v>0</v>
      </c>
      <c r="K159" s="25">
        <f t="shared" si="34"/>
        <v>0</v>
      </c>
      <c r="L159" s="16" t="str">
        <f>IF(AND(L$10&gt;=$D159,L$11&lt;=$E159),VLOOKUP($F159,$K$2:Z$8,L$1,"Falsch"),"")</f>
        <v/>
      </c>
      <c r="M159" s="16" t="str">
        <f>IF(AND(M$10&gt;=$D159,M$11&lt;=$E159),VLOOKUP($F159,$K$2:AA$8,M$1,"Falsch"),"")</f>
        <v/>
      </c>
      <c r="N159" s="16" t="str">
        <f>IF(AND(N$10&gt;=$D159,N$11&lt;=$E159),VLOOKUP($F159,$K$2:AB$8,N$1,"Falsch"),"")</f>
        <v/>
      </c>
      <c r="O159" s="16" t="str">
        <f>IF(AND(O$10&gt;=$D159,O$11&lt;=$E159),VLOOKUP($F159,$K$2:AC$8,O$1,"Falsch"),"")</f>
        <v/>
      </c>
      <c r="P159" s="16" t="str">
        <f>IF(AND(P$10&gt;=$D159,P$11&lt;=$E159),VLOOKUP($F159,$K$2:AD$8,P$1,"Falsch"),"")</f>
        <v/>
      </c>
      <c r="Q159" s="16" t="str">
        <f>IF(AND(Q$10&gt;=$D159,Q$11&lt;=$E159),VLOOKUP($F159,$K$2:AE$8,Q$1,"Falsch"),"")</f>
        <v/>
      </c>
      <c r="R159" s="16" t="str">
        <f>IF(AND(R$10&gt;=$D159,R$11&lt;=$E159),VLOOKUP($F159,$K$2:AF$8,R$1,"Falsch"),"")</f>
        <v/>
      </c>
      <c r="S159" s="16" t="str">
        <f>IF(AND(S$10&gt;=$D159,S$11&lt;=$E159),VLOOKUP($F159,$K$2:AG$8,S$1,"Falsch"),"")</f>
        <v/>
      </c>
      <c r="T159" s="16" t="str">
        <f>IF(AND(T$10&gt;=$D159,T$11&lt;=$E159),VLOOKUP($F159,$K$2:AH$8,T$1,"Falsch"),"")</f>
        <v/>
      </c>
      <c r="U159" s="16" t="str">
        <f>IF(AND(U$10&gt;=$D159,U$11&lt;=$E159),VLOOKUP($F159,$K$2:AI$8,U$1,"Falsch"),"")</f>
        <v/>
      </c>
      <c r="V159" s="16" t="str">
        <f>IF(AND(V$10&gt;=$D159,V$11&lt;=$E159),VLOOKUP($F159,$K$2:AJ$8,V$1,"Falsch"),"")</f>
        <v/>
      </c>
      <c r="W159" s="16" t="str">
        <f>IF(AND(W$10&gt;=$D159,W$11&lt;=$E159),VLOOKUP($F159,$K$2:AK$8,W$1,"Falsch"),"")</f>
        <v/>
      </c>
      <c r="X159" s="16" t="str">
        <f>IF(AND(X$10&gt;=$D159,X$11&lt;=$E159),VLOOKUP($F159,$K$2:AL$8,X$1,"Falsch"),"")</f>
        <v/>
      </c>
      <c r="Y159" s="16" t="str">
        <f>IF(AND(Y$10&gt;=$D159,Y$11&lt;=$E159),VLOOKUP($F159,$K$2:AM$8,Y$1,"Falsch"),"")</f>
        <v/>
      </c>
      <c r="Z159" s="16" t="str">
        <f>IF(AND(Z$10&gt;=$D159,Z$11&lt;=$E159),VLOOKUP($F159,$K$2:AN$8,Z$1,"Falsch"),"")</f>
        <v/>
      </c>
      <c r="AA159" s="16" t="str">
        <f>IF(AND(AA$10&gt;=$D159,AA$11&lt;=$E159),VLOOKUP($F159,$K$2:AO$8,AA$1,"Falsch"),"")</f>
        <v/>
      </c>
      <c r="AB159" s="16" t="str">
        <f>IF(AND(AB$10&gt;=$D159,AB$11&lt;=$E159),VLOOKUP($F159,$K$2:AP$8,AB$1,"Falsch"),"")</f>
        <v/>
      </c>
      <c r="AC159" s="16" t="str">
        <f>IF(AND(AC$10&gt;=$D159,AC$11&lt;=$E159),VLOOKUP($F159,$K$2:AQ$8,AC$1,"Falsch"),"")</f>
        <v/>
      </c>
      <c r="AD159" s="16" t="str">
        <f>IF(AND(AD$10&gt;=$D159,AD$11&lt;=$E159),VLOOKUP($F159,$K$2:AR$8,AD$1,"Falsch"),"")</f>
        <v/>
      </c>
    </row>
    <row r="160" spans="9:30" x14ac:dyDescent="0.25">
      <c r="I160" s="21">
        <f t="shared" si="35"/>
        <v>0</v>
      </c>
      <c r="K160" s="25">
        <f t="shared" si="34"/>
        <v>0</v>
      </c>
      <c r="L160" s="16" t="str">
        <f>IF(AND(L$10&gt;=$D160,L$11&lt;=$E160),VLOOKUP($F160,$K$2:Z$8,L$1,"Falsch"),"")</f>
        <v/>
      </c>
      <c r="M160" s="16" t="str">
        <f>IF(AND(M$10&gt;=$D160,M$11&lt;=$E160),VLOOKUP($F160,$K$2:AA$8,M$1,"Falsch"),"")</f>
        <v/>
      </c>
      <c r="N160" s="16" t="str">
        <f>IF(AND(N$10&gt;=$D160,N$11&lt;=$E160),VLOOKUP($F160,$K$2:AB$8,N$1,"Falsch"),"")</f>
        <v/>
      </c>
      <c r="O160" s="16" t="str">
        <f>IF(AND(O$10&gt;=$D160,O$11&lt;=$E160),VLOOKUP($F160,$K$2:AC$8,O$1,"Falsch"),"")</f>
        <v/>
      </c>
      <c r="P160" s="16" t="str">
        <f>IF(AND(P$10&gt;=$D160,P$11&lt;=$E160),VLOOKUP($F160,$K$2:AD$8,P$1,"Falsch"),"")</f>
        <v/>
      </c>
      <c r="Q160" s="16" t="str">
        <f>IF(AND(Q$10&gt;=$D160,Q$11&lt;=$E160),VLOOKUP($F160,$K$2:AE$8,Q$1,"Falsch"),"")</f>
        <v/>
      </c>
      <c r="R160" s="16" t="str">
        <f>IF(AND(R$10&gt;=$D160,R$11&lt;=$E160),VLOOKUP($F160,$K$2:AF$8,R$1,"Falsch"),"")</f>
        <v/>
      </c>
      <c r="S160" s="16" t="str">
        <f>IF(AND(S$10&gt;=$D160,S$11&lt;=$E160),VLOOKUP($F160,$K$2:AG$8,S$1,"Falsch"),"")</f>
        <v/>
      </c>
      <c r="T160" s="16" t="str">
        <f>IF(AND(T$10&gt;=$D160,T$11&lt;=$E160),VLOOKUP($F160,$K$2:AH$8,T$1,"Falsch"),"")</f>
        <v/>
      </c>
      <c r="U160" s="16" t="str">
        <f>IF(AND(U$10&gt;=$D160,U$11&lt;=$E160),VLOOKUP($F160,$K$2:AI$8,U$1,"Falsch"),"")</f>
        <v/>
      </c>
      <c r="V160" s="16" t="str">
        <f>IF(AND(V$10&gt;=$D160,V$11&lt;=$E160),VLOOKUP($F160,$K$2:AJ$8,V$1,"Falsch"),"")</f>
        <v/>
      </c>
      <c r="W160" s="16" t="str">
        <f>IF(AND(W$10&gt;=$D160,W$11&lt;=$E160),VLOOKUP($F160,$K$2:AK$8,W$1,"Falsch"),"")</f>
        <v/>
      </c>
      <c r="X160" s="16" t="str">
        <f>IF(AND(X$10&gt;=$D160,X$11&lt;=$E160),VLOOKUP($F160,$K$2:AL$8,X$1,"Falsch"),"")</f>
        <v/>
      </c>
      <c r="Y160" s="16" t="str">
        <f>IF(AND(Y$10&gt;=$D160,Y$11&lt;=$E160),VLOOKUP($F160,$K$2:AM$8,Y$1,"Falsch"),"")</f>
        <v/>
      </c>
      <c r="Z160" s="16" t="str">
        <f>IF(AND(Z$10&gt;=$D160,Z$11&lt;=$E160),VLOOKUP($F160,$K$2:AN$8,Z$1,"Falsch"),"")</f>
        <v/>
      </c>
      <c r="AA160" s="16" t="str">
        <f>IF(AND(AA$10&gt;=$D160,AA$11&lt;=$E160),VLOOKUP($F160,$K$2:AO$8,AA$1,"Falsch"),"")</f>
        <v/>
      </c>
      <c r="AB160" s="16" t="str">
        <f>IF(AND(AB$10&gt;=$D160,AB$11&lt;=$E160),VLOOKUP($F160,$K$2:AP$8,AB$1,"Falsch"),"")</f>
        <v/>
      </c>
      <c r="AC160" s="16" t="str">
        <f>IF(AND(AC$10&gt;=$D160,AC$11&lt;=$E160),VLOOKUP($F160,$K$2:AQ$8,AC$1,"Falsch"),"")</f>
        <v/>
      </c>
      <c r="AD160" s="16" t="str">
        <f>IF(AND(AD$10&gt;=$D160,AD$11&lt;=$E160),VLOOKUP($F160,$K$2:AR$8,AD$1,"Falsch"),"")</f>
        <v/>
      </c>
    </row>
    <row r="161" spans="9:30" x14ac:dyDescent="0.25">
      <c r="I161" s="21">
        <f t="shared" si="35"/>
        <v>0</v>
      </c>
      <c r="K161" s="25">
        <f t="shared" si="34"/>
        <v>0</v>
      </c>
      <c r="L161" s="16" t="str">
        <f>IF(AND(L$10&gt;=$D161,L$11&lt;=$E161),VLOOKUP($F161,$K$2:Z$8,L$1,"Falsch"),"")</f>
        <v/>
      </c>
      <c r="M161" s="16" t="str">
        <f>IF(AND(M$10&gt;=$D161,M$11&lt;=$E161),VLOOKUP($F161,$K$2:AA$8,M$1,"Falsch"),"")</f>
        <v/>
      </c>
      <c r="N161" s="16" t="str">
        <f>IF(AND(N$10&gt;=$D161,N$11&lt;=$E161),VLOOKUP($F161,$K$2:AB$8,N$1,"Falsch"),"")</f>
        <v/>
      </c>
      <c r="O161" s="16" t="str">
        <f>IF(AND(O$10&gt;=$D161,O$11&lt;=$E161),VLOOKUP($F161,$K$2:AC$8,O$1,"Falsch"),"")</f>
        <v/>
      </c>
      <c r="P161" s="16" t="str">
        <f>IF(AND(P$10&gt;=$D161,P$11&lt;=$E161),VLOOKUP($F161,$K$2:AD$8,P$1,"Falsch"),"")</f>
        <v/>
      </c>
      <c r="Q161" s="16" t="str">
        <f>IF(AND(Q$10&gt;=$D161,Q$11&lt;=$E161),VLOOKUP($F161,$K$2:AE$8,Q$1,"Falsch"),"")</f>
        <v/>
      </c>
      <c r="R161" s="16" t="str">
        <f>IF(AND(R$10&gt;=$D161,R$11&lt;=$E161),VLOOKUP($F161,$K$2:AF$8,R$1,"Falsch"),"")</f>
        <v/>
      </c>
      <c r="S161" s="16" t="str">
        <f>IF(AND(S$10&gt;=$D161,S$11&lt;=$E161),VLOOKUP($F161,$K$2:AG$8,S$1,"Falsch"),"")</f>
        <v/>
      </c>
      <c r="T161" s="16" t="str">
        <f>IF(AND(T$10&gt;=$D161,T$11&lt;=$E161),VLOOKUP($F161,$K$2:AH$8,T$1,"Falsch"),"")</f>
        <v/>
      </c>
      <c r="U161" s="16" t="str">
        <f>IF(AND(U$10&gt;=$D161,U$11&lt;=$E161),VLOOKUP($F161,$K$2:AI$8,U$1,"Falsch"),"")</f>
        <v/>
      </c>
      <c r="V161" s="16" t="str">
        <f>IF(AND(V$10&gt;=$D161,V$11&lt;=$E161),VLOOKUP($F161,$K$2:AJ$8,V$1,"Falsch"),"")</f>
        <v/>
      </c>
      <c r="W161" s="16" t="str">
        <f>IF(AND(W$10&gt;=$D161,W$11&lt;=$E161),VLOOKUP($F161,$K$2:AK$8,W$1,"Falsch"),"")</f>
        <v/>
      </c>
      <c r="X161" s="16" t="str">
        <f>IF(AND(X$10&gt;=$D161,X$11&lt;=$E161),VLOOKUP($F161,$K$2:AL$8,X$1,"Falsch"),"")</f>
        <v/>
      </c>
      <c r="Y161" s="16" t="str">
        <f>IF(AND(Y$10&gt;=$D161,Y$11&lt;=$E161),VLOOKUP($F161,$K$2:AM$8,Y$1,"Falsch"),"")</f>
        <v/>
      </c>
      <c r="Z161" s="16" t="str">
        <f>IF(AND(Z$10&gt;=$D161,Z$11&lt;=$E161),VLOOKUP($F161,$K$2:AN$8,Z$1,"Falsch"),"")</f>
        <v/>
      </c>
      <c r="AA161" s="16" t="str">
        <f>IF(AND(AA$10&gt;=$D161,AA$11&lt;=$E161),VLOOKUP($F161,$K$2:AO$8,AA$1,"Falsch"),"")</f>
        <v/>
      </c>
      <c r="AB161" s="16" t="str">
        <f>IF(AND(AB$10&gt;=$D161,AB$11&lt;=$E161),VLOOKUP($F161,$K$2:AP$8,AB$1,"Falsch"),"")</f>
        <v/>
      </c>
      <c r="AC161" s="16" t="str">
        <f>IF(AND(AC$10&gt;=$D161,AC$11&lt;=$E161),VLOOKUP($F161,$K$2:AQ$8,AC$1,"Falsch"),"")</f>
        <v/>
      </c>
      <c r="AD161" s="16" t="str">
        <f>IF(AND(AD$10&gt;=$D161,AD$11&lt;=$E161),VLOOKUP($F161,$K$2:AR$8,AD$1,"Falsch"),"")</f>
        <v/>
      </c>
    </row>
    <row r="162" spans="9:30" x14ac:dyDescent="0.25">
      <c r="I162" s="21">
        <f t="shared" si="35"/>
        <v>0</v>
      </c>
      <c r="K162" s="25">
        <f t="shared" si="34"/>
        <v>0</v>
      </c>
      <c r="L162" s="16" t="str">
        <f>IF(AND(L$10&gt;=$D162,L$11&lt;=$E162),VLOOKUP($F162,$K$2:Z$8,L$1,"Falsch"),"")</f>
        <v/>
      </c>
      <c r="M162" s="16" t="str">
        <f>IF(AND(M$10&gt;=$D162,M$11&lt;=$E162),VLOOKUP($F162,$K$2:AA$8,M$1,"Falsch"),"")</f>
        <v/>
      </c>
      <c r="N162" s="16" t="str">
        <f>IF(AND(N$10&gt;=$D162,N$11&lt;=$E162),VLOOKUP($F162,$K$2:AB$8,N$1,"Falsch"),"")</f>
        <v/>
      </c>
      <c r="O162" s="16" t="str">
        <f>IF(AND(O$10&gt;=$D162,O$11&lt;=$E162),VLOOKUP($F162,$K$2:AC$8,O$1,"Falsch"),"")</f>
        <v/>
      </c>
      <c r="P162" s="16" t="str">
        <f>IF(AND(P$10&gt;=$D162,P$11&lt;=$E162),VLOOKUP($F162,$K$2:AD$8,P$1,"Falsch"),"")</f>
        <v/>
      </c>
      <c r="Q162" s="16" t="str">
        <f>IF(AND(Q$10&gt;=$D162,Q$11&lt;=$E162),VLOOKUP($F162,$K$2:AE$8,Q$1,"Falsch"),"")</f>
        <v/>
      </c>
      <c r="R162" s="16" t="str">
        <f>IF(AND(R$10&gt;=$D162,R$11&lt;=$E162),VLOOKUP($F162,$K$2:AF$8,R$1,"Falsch"),"")</f>
        <v/>
      </c>
      <c r="S162" s="16" t="str">
        <f>IF(AND(S$10&gt;=$D162,S$11&lt;=$E162),VLOOKUP($F162,$K$2:AG$8,S$1,"Falsch"),"")</f>
        <v/>
      </c>
      <c r="T162" s="16" t="str">
        <f>IF(AND(T$10&gt;=$D162,T$11&lt;=$E162),VLOOKUP($F162,$K$2:AH$8,T$1,"Falsch"),"")</f>
        <v/>
      </c>
      <c r="U162" s="16" t="str">
        <f>IF(AND(U$10&gt;=$D162,U$11&lt;=$E162),VLOOKUP($F162,$K$2:AI$8,U$1,"Falsch"),"")</f>
        <v/>
      </c>
      <c r="V162" s="16" t="str">
        <f>IF(AND(V$10&gt;=$D162,V$11&lt;=$E162),VLOOKUP($F162,$K$2:AJ$8,V$1,"Falsch"),"")</f>
        <v/>
      </c>
      <c r="W162" s="16" t="str">
        <f>IF(AND(W$10&gt;=$D162,W$11&lt;=$E162),VLOOKUP($F162,$K$2:AK$8,W$1,"Falsch"),"")</f>
        <v/>
      </c>
      <c r="X162" s="16" t="str">
        <f>IF(AND(X$10&gt;=$D162,X$11&lt;=$E162),VLOOKUP($F162,$K$2:AL$8,X$1,"Falsch"),"")</f>
        <v/>
      </c>
      <c r="Y162" s="16" t="str">
        <f>IF(AND(Y$10&gt;=$D162,Y$11&lt;=$E162),VLOOKUP($F162,$K$2:AM$8,Y$1,"Falsch"),"")</f>
        <v/>
      </c>
      <c r="Z162" s="16" t="str">
        <f>IF(AND(Z$10&gt;=$D162,Z$11&lt;=$E162),VLOOKUP($F162,$K$2:AN$8,Z$1,"Falsch"),"")</f>
        <v/>
      </c>
      <c r="AA162" s="16" t="str">
        <f>IF(AND(AA$10&gt;=$D162,AA$11&lt;=$E162),VLOOKUP($F162,$K$2:AO$8,AA$1,"Falsch"),"")</f>
        <v/>
      </c>
      <c r="AB162" s="16" t="str">
        <f>IF(AND(AB$10&gt;=$D162,AB$11&lt;=$E162),VLOOKUP($F162,$K$2:AP$8,AB$1,"Falsch"),"")</f>
        <v/>
      </c>
      <c r="AC162" s="16" t="str">
        <f>IF(AND(AC$10&gt;=$D162,AC$11&lt;=$E162),VLOOKUP($F162,$K$2:AQ$8,AC$1,"Falsch"),"")</f>
        <v/>
      </c>
      <c r="AD162" s="16" t="str">
        <f>IF(AND(AD$10&gt;=$D162,AD$11&lt;=$E162),VLOOKUP($F162,$K$2:AR$8,AD$1,"Falsch"),"")</f>
        <v/>
      </c>
    </row>
    <row r="163" spans="9:30" x14ac:dyDescent="0.25">
      <c r="I163" s="21">
        <f t="shared" si="35"/>
        <v>0</v>
      </c>
      <c r="K163" s="25">
        <f t="shared" si="34"/>
        <v>0</v>
      </c>
      <c r="L163" s="16" t="str">
        <f>IF(AND(L$10&gt;=$D163,L$11&lt;=$E163),VLOOKUP($F163,$K$2:Z$8,L$1,"Falsch"),"")</f>
        <v/>
      </c>
      <c r="M163" s="16" t="str">
        <f>IF(AND(M$10&gt;=$D163,M$11&lt;=$E163),VLOOKUP($F163,$K$2:AA$8,M$1,"Falsch"),"")</f>
        <v/>
      </c>
      <c r="N163" s="16" t="str">
        <f>IF(AND(N$10&gt;=$D163,N$11&lt;=$E163),VLOOKUP($F163,$K$2:AB$8,N$1,"Falsch"),"")</f>
        <v/>
      </c>
      <c r="O163" s="16" t="str">
        <f>IF(AND(O$10&gt;=$D163,O$11&lt;=$E163),VLOOKUP($F163,$K$2:AC$8,O$1,"Falsch"),"")</f>
        <v/>
      </c>
      <c r="P163" s="16" t="str">
        <f>IF(AND(P$10&gt;=$D163,P$11&lt;=$E163),VLOOKUP($F163,$K$2:AD$8,P$1,"Falsch"),"")</f>
        <v/>
      </c>
      <c r="Q163" s="16" t="str">
        <f>IF(AND(Q$10&gt;=$D163,Q$11&lt;=$E163),VLOOKUP($F163,$K$2:AE$8,Q$1,"Falsch"),"")</f>
        <v/>
      </c>
      <c r="R163" s="16" t="str">
        <f>IF(AND(R$10&gt;=$D163,R$11&lt;=$E163),VLOOKUP($F163,$K$2:AF$8,R$1,"Falsch"),"")</f>
        <v/>
      </c>
      <c r="S163" s="16" t="str">
        <f>IF(AND(S$10&gt;=$D163,S$11&lt;=$E163),VLOOKUP($F163,$K$2:AG$8,S$1,"Falsch"),"")</f>
        <v/>
      </c>
      <c r="T163" s="16" t="str">
        <f>IF(AND(T$10&gt;=$D163,T$11&lt;=$E163),VLOOKUP($F163,$K$2:AH$8,T$1,"Falsch"),"")</f>
        <v/>
      </c>
      <c r="U163" s="16" t="str">
        <f>IF(AND(U$10&gt;=$D163,U$11&lt;=$E163),VLOOKUP($F163,$K$2:AI$8,U$1,"Falsch"),"")</f>
        <v/>
      </c>
      <c r="V163" s="16" t="str">
        <f>IF(AND(V$10&gt;=$D163,V$11&lt;=$E163),VLOOKUP($F163,$K$2:AJ$8,V$1,"Falsch"),"")</f>
        <v/>
      </c>
      <c r="W163" s="16" t="str">
        <f>IF(AND(W$10&gt;=$D163,W$11&lt;=$E163),VLOOKUP($F163,$K$2:AK$8,W$1,"Falsch"),"")</f>
        <v/>
      </c>
      <c r="X163" s="16" t="str">
        <f>IF(AND(X$10&gt;=$D163,X$11&lt;=$E163),VLOOKUP($F163,$K$2:AL$8,X$1,"Falsch"),"")</f>
        <v/>
      </c>
      <c r="Y163" s="16" t="str">
        <f>IF(AND(Y$10&gt;=$D163,Y$11&lt;=$E163),VLOOKUP($F163,$K$2:AM$8,Y$1,"Falsch"),"")</f>
        <v/>
      </c>
      <c r="Z163" s="16" t="str">
        <f>IF(AND(Z$10&gt;=$D163,Z$11&lt;=$E163),VLOOKUP($F163,$K$2:AN$8,Z$1,"Falsch"),"")</f>
        <v/>
      </c>
      <c r="AA163" s="16" t="str">
        <f>IF(AND(AA$10&gt;=$D163,AA$11&lt;=$E163),VLOOKUP($F163,$K$2:AO$8,AA$1,"Falsch"),"")</f>
        <v/>
      </c>
      <c r="AB163" s="16" t="str">
        <f>IF(AND(AB$10&gt;=$D163,AB$11&lt;=$E163),VLOOKUP($F163,$K$2:AP$8,AB$1,"Falsch"),"")</f>
        <v/>
      </c>
      <c r="AC163" s="16" t="str">
        <f>IF(AND(AC$10&gt;=$D163,AC$11&lt;=$E163),VLOOKUP($F163,$K$2:AQ$8,AC$1,"Falsch"),"")</f>
        <v/>
      </c>
      <c r="AD163" s="16" t="str">
        <f>IF(AND(AD$10&gt;=$D163,AD$11&lt;=$E163),VLOOKUP($F163,$K$2:AR$8,AD$1,"Falsch"),"")</f>
        <v/>
      </c>
    </row>
    <row r="164" spans="9:30" x14ac:dyDescent="0.25">
      <c r="I164" s="21">
        <f t="shared" si="35"/>
        <v>0</v>
      </c>
      <c r="K164" s="25">
        <f t="shared" si="34"/>
        <v>0</v>
      </c>
      <c r="L164" s="16" t="str">
        <f>IF(AND(L$10&gt;=$D164,L$11&lt;=$E164),VLOOKUP($F164,$K$2:Z$8,L$1,"Falsch"),"")</f>
        <v/>
      </c>
      <c r="M164" s="16" t="str">
        <f>IF(AND(M$10&gt;=$D164,M$11&lt;=$E164),VLOOKUP($F164,$K$2:AA$8,M$1,"Falsch"),"")</f>
        <v/>
      </c>
      <c r="N164" s="16" t="str">
        <f>IF(AND(N$10&gt;=$D164,N$11&lt;=$E164),VLOOKUP($F164,$K$2:AB$8,N$1,"Falsch"),"")</f>
        <v/>
      </c>
      <c r="O164" s="16" t="str">
        <f>IF(AND(O$10&gt;=$D164,O$11&lt;=$E164),VLOOKUP($F164,$K$2:AC$8,O$1,"Falsch"),"")</f>
        <v/>
      </c>
      <c r="P164" s="16" t="str">
        <f>IF(AND(P$10&gt;=$D164,P$11&lt;=$E164),VLOOKUP($F164,$K$2:AD$8,P$1,"Falsch"),"")</f>
        <v/>
      </c>
      <c r="Q164" s="16" t="str">
        <f>IF(AND(Q$10&gt;=$D164,Q$11&lt;=$E164),VLOOKUP($F164,$K$2:AE$8,Q$1,"Falsch"),"")</f>
        <v/>
      </c>
      <c r="R164" s="16" t="str">
        <f>IF(AND(R$10&gt;=$D164,R$11&lt;=$E164),VLOOKUP($F164,$K$2:AF$8,R$1,"Falsch"),"")</f>
        <v/>
      </c>
      <c r="S164" s="16" t="str">
        <f>IF(AND(S$10&gt;=$D164,S$11&lt;=$E164),VLOOKUP($F164,$K$2:AG$8,S$1,"Falsch"),"")</f>
        <v/>
      </c>
      <c r="T164" s="16" t="str">
        <f>IF(AND(T$10&gt;=$D164,T$11&lt;=$E164),VLOOKUP($F164,$K$2:AH$8,T$1,"Falsch"),"")</f>
        <v/>
      </c>
      <c r="U164" s="16" t="str">
        <f>IF(AND(U$10&gt;=$D164,U$11&lt;=$E164),VLOOKUP($F164,$K$2:AI$8,U$1,"Falsch"),"")</f>
        <v/>
      </c>
      <c r="V164" s="16" t="str">
        <f>IF(AND(V$10&gt;=$D164,V$11&lt;=$E164),VLOOKUP($F164,$K$2:AJ$8,V$1,"Falsch"),"")</f>
        <v/>
      </c>
      <c r="W164" s="16" t="str">
        <f>IF(AND(W$10&gt;=$D164,W$11&lt;=$E164),VLOOKUP($F164,$K$2:AK$8,W$1,"Falsch"),"")</f>
        <v/>
      </c>
      <c r="X164" s="16" t="str">
        <f>IF(AND(X$10&gt;=$D164,X$11&lt;=$E164),VLOOKUP($F164,$K$2:AL$8,X$1,"Falsch"),"")</f>
        <v/>
      </c>
      <c r="Y164" s="16" t="str">
        <f>IF(AND(Y$10&gt;=$D164,Y$11&lt;=$E164),VLOOKUP($F164,$K$2:AM$8,Y$1,"Falsch"),"")</f>
        <v/>
      </c>
      <c r="Z164" s="16" t="str">
        <f>IF(AND(Z$10&gt;=$D164,Z$11&lt;=$E164),VLOOKUP($F164,$K$2:AN$8,Z$1,"Falsch"),"")</f>
        <v/>
      </c>
      <c r="AA164" s="16" t="str">
        <f>IF(AND(AA$10&gt;=$D164,AA$11&lt;=$E164),VLOOKUP($F164,$K$2:AO$8,AA$1,"Falsch"),"")</f>
        <v/>
      </c>
      <c r="AB164" s="16" t="str">
        <f>IF(AND(AB$10&gt;=$D164,AB$11&lt;=$E164),VLOOKUP($F164,$K$2:AP$8,AB$1,"Falsch"),"")</f>
        <v/>
      </c>
      <c r="AC164" s="16" t="str">
        <f>IF(AND(AC$10&gt;=$D164,AC$11&lt;=$E164),VLOOKUP($F164,$K$2:AQ$8,AC$1,"Falsch"),"")</f>
        <v/>
      </c>
      <c r="AD164" s="16" t="str">
        <f>IF(AND(AD$10&gt;=$D164,AD$11&lt;=$E164),VLOOKUP($F164,$K$2:AR$8,AD$1,"Falsch"),"")</f>
        <v/>
      </c>
    </row>
    <row r="165" spans="9:30" x14ac:dyDescent="0.25">
      <c r="I165" s="21">
        <f t="shared" si="35"/>
        <v>0</v>
      </c>
      <c r="K165" s="25">
        <f t="shared" si="34"/>
        <v>0</v>
      </c>
      <c r="L165" s="16" t="str">
        <f>IF(AND(L$10&gt;=$D165,L$11&lt;=$E165),VLOOKUP($F165,$K$2:Z$8,L$1,"Falsch"),"")</f>
        <v/>
      </c>
      <c r="M165" s="16" t="str">
        <f>IF(AND(M$10&gt;=$D165,M$11&lt;=$E165),VLOOKUP($F165,$K$2:AA$8,M$1,"Falsch"),"")</f>
        <v/>
      </c>
      <c r="N165" s="16" t="str">
        <f>IF(AND(N$10&gt;=$D165,N$11&lt;=$E165),VLOOKUP($F165,$K$2:AB$8,N$1,"Falsch"),"")</f>
        <v/>
      </c>
      <c r="O165" s="16" t="str">
        <f>IF(AND(O$10&gt;=$D165,O$11&lt;=$E165),VLOOKUP($F165,$K$2:AC$8,O$1,"Falsch"),"")</f>
        <v/>
      </c>
      <c r="P165" s="16" t="str">
        <f>IF(AND(P$10&gt;=$D165,P$11&lt;=$E165),VLOOKUP($F165,$K$2:AD$8,P$1,"Falsch"),"")</f>
        <v/>
      </c>
      <c r="Q165" s="16" t="str">
        <f>IF(AND(Q$10&gt;=$D165,Q$11&lt;=$E165),VLOOKUP($F165,$K$2:AE$8,Q$1,"Falsch"),"")</f>
        <v/>
      </c>
      <c r="R165" s="16" t="str">
        <f>IF(AND(R$10&gt;=$D165,R$11&lt;=$E165),VLOOKUP($F165,$K$2:AF$8,R$1,"Falsch"),"")</f>
        <v/>
      </c>
      <c r="S165" s="16" t="str">
        <f>IF(AND(S$10&gt;=$D165,S$11&lt;=$E165),VLOOKUP($F165,$K$2:AG$8,S$1,"Falsch"),"")</f>
        <v/>
      </c>
      <c r="T165" s="16" t="str">
        <f>IF(AND(T$10&gt;=$D165,T$11&lt;=$E165),VLOOKUP($F165,$K$2:AH$8,T$1,"Falsch"),"")</f>
        <v/>
      </c>
      <c r="U165" s="16" t="str">
        <f>IF(AND(U$10&gt;=$D165,U$11&lt;=$E165),VLOOKUP($F165,$K$2:AI$8,U$1,"Falsch"),"")</f>
        <v/>
      </c>
      <c r="V165" s="16" t="str">
        <f>IF(AND(V$10&gt;=$D165,V$11&lt;=$E165),VLOOKUP($F165,$K$2:AJ$8,V$1,"Falsch"),"")</f>
        <v/>
      </c>
      <c r="W165" s="16" t="str">
        <f>IF(AND(W$10&gt;=$D165,W$11&lt;=$E165),VLOOKUP($F165,$K$2:AK$8,W$1,"Falsch"),"")</f>
        <v/>
      </c>
      <c r="X165" s="16" t="str">
        <f>IF(AND(X$10&gt;=$D165,X$11&lt;=$E165),VLOOKUP($F165,$K$2:AL$8,X$1,"Falsch"),"")</f>
        <v/>
      </c>
      <c r="Y165" s="16" t="str">
        <f>IF(AND(Y$10&gt;=$D165,Y$11&lt;=$E165),VLOOKUP($F165,$K$2:AM$8,Y$1,"Falsch"),"")</f>
        <v/>
      </c>
      <c r="Z165" s="16" t="str">
        <f>IF(AND(Z$10&gt;=$D165,Z$11&lt;=$E165),VLOOKUP($F165,$K$2:AN$8,Z$1,"Falsch"),"")</f>
        <v/>
      </c>
      <c r="AA165" s="16" t="str">
        <f>IF(AND(AA$10&gt;=$D165,AA$11&lt;=$E165),VLOOKUP($F165,$K$2:AO$8,AA$1,"Falsch"),"")</f>
        <v/>
      </c>
      <c r="AB165" s="16" t="str">
        <f>IF(AND(AB$10&gt;=$D165,AB$11&lt;=$E165),VLOOKUP($F165,$K$2:AP$8,AB$1,"Falsch"),"")</f>
        <v/>
      </c>
      <c r="AC165" s="16" t="str">
        <f>IF(AND(AC$10&gt;=$D165,AC$11&lt;=$E165),VLOOKUP($F165,$K$2:AQ$8,AC$1,"Falsch"),"")</f>
        <v/>
      </c>
      <c r="AD165" s="16" t="str">
        <f>IF(AND(AD$10&gt;=$D165,AD$11&lt;=$E165),VLOOKUP($F165,$K$2:AR$8,AD$1,"Falsch"),"")</f>
        <v/>
      </c>
    </row>
    <row r="166" spans="9:30" x14ac:dyDescent="0.25">
      <c r="I166" s="21">
        <f t="shared" si="35"/>
        <v>0</v>
      </c>
      <c r="K166" s="25">
        <f t="shared" si="34"/>
        <v>0</v>
      </c>
      <c r="L166" s="16" t="str">
        <f>IF(AND(L$10&gt;=$D166,L$11&lt;=$E166),VLOOKUP($F166,$K$2:Z$8,L$1,"Falsch"),"")</f>
        <v/>
      </c>
      <c r="M166" s="16" t="str">
        <f>IF(AND(M$10&gt;=$D166,M$11&lt;=$E166),VLOOKUP($F166,$K$2:AA$8,M$1,"Falsch"),"")</f>
        <v/>
      </c>
      <c r="N166" s="16" t="str">
        <f>IF(AND(N$10&gt;=$D166,N$11&lt;=$E166),VLOOKUP($F166,$K$2:AB$8,N$1,"Falsch"),"")</f>
        <v/>
      </c>
      <c r="O166" s="16" t="str">
        <f>IF(AND(O$10&gt;=$D166,O$11&lt;=$E166),VLOOKUP($F166,$K$2:AC$8,O$1,"Falsch"),"")</f>
        <v/>
      </c>
      <c r="P166" s="16" t="str">
        <f>IF(AND(P$10&gt;=$D166,P$11&lt;=$E166),VLOOKUP($F166,$K$2:AD$8,P$1,"Falsch"),"")</f>
        <v/>
      </c>
      <c r="Q166" s="16" t="str">
        <f>IF(AND(Q$10&gt;=$D166,Q$11&lt;=$E166),VLOOKUP($F166,$K$2:AE$8,Q$1,"Falsch"),"")</f>
        <v/>
      </c>
      <c r="R166" s="16" t="str">
        <f>IF(AND(R$10&gt;=$D166,R$11&lt;=$E166),VLOOKUP($F166,$K$2:AF$8,R$1,"Falsch"),"")</f>
        <v/>
      </c>
      <c r="S166" s="16" t="str">
        <f>IF(AND(S$10&gt;=$D166,S$11&lt;=$E166),VLOOKUP($F166,$K$2:AG$8,S$1,"Falsch"),"")</f>
        <v/>
      </c>
      <c r="T166" s="16" t="str">
        <f>IF(AND(T$10&gt;=$D166,T$11&lt;=$E166),VLOOKUP($F166,$K$2:AH$8,T$1,"Falsch"),"")</f>
        <v/>
      </c>
      <c r="U166" s="16" t="str">
        <f>IF(AND(U$10&gt;=$D166,U$11&lt;=$E166),VLOOKUP($F166,$K$2:AI$8,U$1,"Falsch"),"")</f>
        <v/>
      </c>
      <c r="V166" s="16" t="str">
        <f>IF(AND(V$10&gt;=$D166,V$11&lt;=$E166),VLOOKUP($F166,$K$2:AJ$8,V$1,"Falsch"),"")</f>
        <v/>
      </c>
      <c r="W166" s="16" t="str">
        <f>IF(AND(W$10&gt;=$D166,W$11&lt;=$E166),VLOOKUP($F166,$K$2:AK$8,W$1,"Falsch"),"")</f>
        <v/>
      </c>
      <c r="X166" s="16" t="str">
        <f>IF(AND(X$10&gt;=$D166,X$11&lt;=$E166),VLOOKUP($F166,$K$2:AL$8,X$1,"Falsch"),"")</f>
        <v/>
      </c>
      <c r="Y166" s="16" t="str">
        <f>IF(AND(Y$10&gt;=$D166,Y$11&lt;=$E166),VLOOKUP($F166,$K$2:AM$8,Y$1,"Falsch"),"")</f>
        <v/>
      </c>
      <c r="Z166" s="16" t="str">
        <f>IF(AND(Z$10&gt;=$D166,Z$11&lt;=$E166),VLOOKUP($F166,$K$2:AN$8,Z$1,"Falsch"),"")</f>
        <v/>
      </c>
      <c r="AA166" s="16" t="str">
        <f>IF(AND(AA$10&gt;=$D166,AA$11&lt;=$E166),VLOOKUP($F166,$K$2:AO$8,AA$1,"Falsch"),"")</f>
        <v/>
      </c>
      <c r="AB166" s="16" t="str">
        <f>IF(AND(AB$10&gt;=$D166,AB$11&lt;=$E166),VLOOKUP($F166,$K$2:AP$8,AB$1,"Falsch"),"")</f>
        <v/>
      </c>
      <c r="AC166" s="16" t="str">
        <f>IF(AND(AC$10&gt;=$D166,AC$11&lt;=$E166),VLOOKUP($F166,$K$2:AQ$8,AC$1,"Falsch"),"")</f>
        <v/>
      </c>
      <c r="AD166" s="16" t="str">
        <f>IF(AND(AD$10&gt;=$D166,AD$11&lt;=$E166),VLOOKUP($F166,$K$2:AR$8,AD$1,"Falsch"),"")</f>
        <v/>
      </c>
    </row>
    <row r="167" spans="9:30" x14ac:dyDescent="0.25">
      <c r="I167" s="21">
        <f t="shared" si="35"/>
        <v>0</v>
      </c>
      <c r="K167" s="25">
        <f t="shared" si="34"/>
        <v>0</v>
      </c>
      <c r="L167" s="16" t="str">
        <f>IF(AND(L$10&gt;=$D167,L$11&lt;=$E167),VLOOKUP($F167,$K$2:Z$8,L$1,"Falsch"),"")</f>
        <v/>
      </c>
      <c r="M167" s="16" t="str">
        <f>IF(AND(M$10&gt;=$D167,M$11&lt;=$E167),VLOOKUP($F167,$K$2:AA$8,M$1,"Falsch"),"")</f>
        <v/>
      </c>
      <c r="N167" s="16" t="str">
        <f>IF(AND(N$10&gt;=$D167,N$11&lt;=$E167),VLOOKUP($F167,$K$2:AB$8,N$1,"Falsch"),"")</f>
        <v/>
      </c>
      <c r="O167" s="16" t="str">
        <f>IF(AND(O$10&gt;=$D167,O$11&lt;=$E167),VLOOKUP($F167,$K$2:AC$8,O$1,"Falsch"),"")</f>
        <v/>
      </c>
      <c r="P167" s="16" t="str">
        <f>IF(AND(P$10&gt;=$D167,P$11&lt;=$E167),VLOOKUP($F167,$K$2:AD$8,P$1,"Falsch"),"")</f>
        <v/>
      </c>
      <c r="Q167" s="16" t="str">
        <f>IF(AND(Q$10&gt;=$D167,Q$11&lt;=$E167),VLOOKUP($F167,$K$2:AE$8,Q$1,"Falsch"),"")</f>
        <v/>
      </c>
      <c r="R167" s="16" t="str">
        <f>IF(AND(R$10&gt;=$D167,R$11&lt;=$E167),VLOOKUP($F167,$K$2:AF$8,R$1,"Falsch"),"")</f>
        <v/>
      </c>
      <c r="S167" s="16" t="str">
        <f>IF(AND(S$10&gt;=$D167,S$11&lt;=$E167),VLOOKUP($F167,$K$2:AG$8,S$1,"Falsch"),"")</f>
        <v/>
      </c>
      <c r="T167" s="16" t="str">
        <f>IF(AND(T$10&gt;=$D167,T$11&lt;=$E167),VLOOKUP($F167,$K$2:AH$8,T$1,"Falsch"),"")</f>
        <v/>
      </c>
      <c r="U167" s="16" t="str">
        <f>IF(AND(U$10&gt;=$D167,U$11&lt;=$E167),VLOOKUP($F167,$K$2:AI$8,U$1,"Falsch"),"")</f>
        <v/>
      </c>
      <c r="V167" s="16" t="str">
        <f>IF(AND(V$10&gt;=$D167,V$11&lt;=$E167),VLOOKUP($F167,$K$2:AJ$8,V$1,"Falsch"),"")</f>
        <v/>
      </c>
      <c r="W167" s="16" t="str">
        <f>IF(AND(W$10&gt;=$D167,W$11&lt;=$E167),VLOOKUP($F167,$K$2:AK$8,W$1,"Falsch"),"")</f>
        <v/>
      </c>
      <c r="X167" s="16" t="str">
        <f>IF(AND(X$10&gt;=$D167,X$11&lt;=$E167),VLOOKUP($F167,$K$2:AL$8,X$1,"Falsch"),"")</f>
        <v/>
      </c>
      <c r="Y167" s="16" t="str">
        <f>IF(AND(Y$10&gt;=$D167,Y$11&lt;=$E167),VLOOKUP($F167,$K$2:AM$8,Y$1,"Falsch"),"")</f>
        <v/>
      </c>
      <c r="Z167" s="16" t="str">
        <f>IF(AND(Z$10&gt;=$D167,Z$11&lt;=$E167),VLOOKUP($F167,$K$2:AN$8,Z$1,"Falsch"),"")</f>
        <v/>
      </c>
      <c r="AA167" s="16" t="str">
        <f>IF(AND(AA$10&gt;=$D167,AA$11&lt;=$E167),VLOOKUP($F167,$K$2:AO$8,AA$1,"Falsch"),"")</f>
        <v/>
      </c>
      <c r="AB167" s="16" t="str">
        <f>IF(AND(AB$10&gt;=$D167,AB$11&lt;=$E167),VLOOKUP($F167,$K$2:AP$8,AB$1,"Falsch"),"")</f>
        <v/>
      </c>
      <c r="AC167" s="16" t="str">
        <f>IF(AND(AC$10&gt;=$D167,AC$11&lt;=$E167),VLOOKUP($F167,$K$2:AQ$8,AC$1,"Falsch"),"")</f>
        <v/>
      </c>
      <c r="AD167" s="16" t="str">
        <f>IF(AND(AD$10&gt;=$D167,AD$11&lt;=$E167),VLOOKUP($F167,$K$2:AR$8,AD$1,"Falsch"),"")</f>
        <v/>
      </c>
    </row>
    <row r="168" spans="9:30" x14ac:dyDescent="0.25">
      <c r="I168" s="21">
        <f t="shared" si="35"/>
        <v>0</v>
      </c>
      <c r="K168" s="25">
        <f t="shared" si="34"/>
        <v>0</v>
      </c>
      <c r="L168" s="16" t="str">
        <f>IF(AND(L$10&gt;=$D168,L$11&lt;=$E168),VLOOKUP($F168,$K$2:Z$8,L$1,"Falsch"),"")</f>
        <v/>
      </c>
      <c r="M168" s="16" t="str">
        <f>IF(AND(M$10&gt;=$D168,M$11&lt;=$E168),VLOOKUP($F168,$K$2:AA$8,M$1,"Falsch"),"")</f>
        <v/>
      </c>
      <c r="N168" s="16" t="str">
        <f>IF(AND(N$10&gt;=$D168,N$11&lt;=$E168),VLOOKUP($F168,$K$2:AB$8,N$1,"Falsch"),"")</f>
        <v/>
      </c>
      <c r="O168" s="16" t="str">
        <f>IF(AND(O$10&gt;=$D168,O$11&lt;=$E168),VLOOKUP($F168,$K$2:AC$8,O$1,"Falsch"),"")</f>
        <v/>
      </c>
      <c r="P168" s="16" t="str">
        <f>IF(AND(P$10&gt;=$D168,P$11&lt;=$E168),VLOOKUP($F168,$K$2:AD$8,P$1,"Falsch"),"")</f>
        <v/>
      </c>
      <c r="Q168" s="16" t="str">
        <f>IF(AND(Q$10&gt;=$D168,Q$11&lt;=$E168),VLOOKUP($F168,$K$2:AE$8,Q$1,"Falsch"),"")</f>
        <v/>
      </c>
      <c r="R168" s="16" t="str">
        <f>IF(AND(R$10&gt;=$D168,R$11&lt;=$E168),VLOOKUP($F168,$K$2:AF$8,R$1,"Falsch"),"")</f>
        <v/>
      </c>
      <c r="S168" s="16" t="str">
        <f>IF(AND(S$10&gt;=$D168,S$11&lt;=$E168),VLOOKUP($F168,$K$2:AG$8,S$1,"Falsch"),"")</f>
        <v/>
      </c>
      <c r="T168" s="16" t="str">
        <f>IF(AND(T$10&gt;=$D168,T$11&lt;=$E168),VLOOKUP($F168,$K$2:AH$8,T$1,"Falsch"),"")</f>
        <v/>
      </c>
      <c r="U168" s="16" t="str">
        <f>IF(AND(U$10&gt;=$D168,U$11&lt;=$E168),VLOOKUP($F168,$K$2:AI$8,U$1,"Falsch"),"")</f>
        <v/>
      </c>
      <c r="V168" s="16" t="str">
        <f>IF(AND(V$10&gt;=$D168,V$11&lt;=$E168),VLOOKUP($F168,$K$2:AJ$8,V$1,"Falsch"),"")</f>
        <v/>
      </c>
      <c r="W168" s="16" t="str">
        <f>IF(AND(W$10&gt;=$D168,W$11&lt;=$E168),VLOOKUP($F168,$K$2:AK$8,W$1,"Falsch"),"")</f>
        <v/>
      </c>
      <c r="X168" s="16" t="str">
        <f>IF(AND(X$10&gt;=$D168,X$11&lt;=$E168),VLOOKUP($F168,$K$2:AL$8,X$1,"Falsch"),"")</f>
        <v/>
      </c>
      <c r="Y168" s="16" t="str">
        <f>IF(AND(Y$10&gt;=$D168,Y$11&lt;=$E168),VLOOKUP($F168,$K$2:AM$8,Y$1,"Falsch"),"")</f>
        <v/>
      </c>
      <c r="Z168" s="16" t="str">
        <f>IF(AND(Z$10&gt;=$D168,Z$11&lt;=$E168),VLOOKUP($F168,$K$2:AN$8,Z$1,"Falsch"),"")</f>
        <v/>
      </c>
      <c r="AA168" s="16" t="str">
        <f>IF(AND(AA$10&gt;=$D168,AA$11&lt;=$E168),VLOOKUP($F168,$K$2:AO$8,AA$1,"Falsch"),"")</f>
        <v/>
      </c>
      <c r="AB168" s="16" t="str">
        <f>IF(AND(AB$10&gt;=$D168,AB$11&lt;=$E168),VLOOKUP($F168,$K$2:AP$8,AB$1,"Falsch"),"")</f>
        <v/>
      </c>
      <c r="AC168" s="16" t="str">
        <f>IF(AND(AC$10&gt;=$D168,AC$11&lt;=$E168),VLOOKUP($F168,$K$2:AQ$8,AC$1,"Falsch"),"")</f>
        <v/>
      </c>
      <c r="AD168" s="16" t="str">
        <f>IF(AND(AD$10&gt;=$D168,AD$11&lt;=$E168),VLOOKUP($F168,$K$2:AR$8,AD$1,"Falsch"),"")</f>
        <v/>
      </c>
    </row>
    <row r="169" spans="9:30" x14ac:dyDescent="0.25">
      <c r="I169" s="21">
        <f t="shared" si="35"/>
        <v>0</v>
      </c>
      <c r="K169" s="25">
        <f t="shared" si="34"/>
        <v>0</v>
      </c>
      <c r="L169" s="16" t="str">
        <f>IF(AND(L$10&gt;=$D169,L$11&lt;=$E169),VLOOKUP($F169,$K$2:Z$8,L$1,"Falsch"),"")</f>
        <v/>
      </c>
      <c r="M169" s="16" t="str">
        <f>IF(AND(M$10&gt;=$D169,M$11&lt;=$E169),VLOOKUP($F169,$K$2:AA$8,M$1,"Falsch"),"")</f>
        <v/>
      </c>
      <c r="N169" s="16" t="str">
        <f>IF(AND(N$10&gt;=$D169,N$11&lt;=$E169),VLOOKUP($F169,$K$2:AB$8,N$1,"Falsch"),"")</f>
        <v/>
      </c>
      <c r="O169" s="16" t="str">
        <f>IF(AND(O$10&gt;=$D169,O$11&lt;=$E169),VLOOKUP($F169,$K$2:AC$8,O$1,"Falsch"),"")</f>
        <v/>
      </c>
      <c r="P169" s="16" t="str">
        <f>IF(AND(P$10&gt;=$D169,P$11&lt;=$E169),VLOOKUP($F169,$K$2:AD$8,P$1,"Falsch"),"")</f>
        <v/>
      </c>
      <c r="Q169" s="16" t="str">
        <f>IF(AND(Q$10&gt;=$D169,Q$11&lt;=$E169),VLOOKUP($F169,$K$2:AE$8,Q$1,"Falsch"),"")</f>
        <v/>
      </c>
      <c r="R169" s="16" t="str">
        <f>IF(AND(R$10&gt;=$D169,R$11&lt;=$E169),VLOOKUP($F169,$K$2:AF$8,R$1,"Falsch"),"")</f>
        <v/>
      </c>
      <c r="S169" s="16" t="str">
        <f>IF(AND(S$10&gt;=$D169,S$11&lt;=$E169),VLOOKUP($F169,$K$2:AG$8,S$1,"Falsch"),"")</f>
        <v/>
      </c>
      <c r="T169" s="16" t="str">
        <f>IF(AND(T$10&gt;=$D169,T$11&lt;=$E169),VLOOKUP($F169,$K$2:AH$8,T$1,"Falsch"),"")</f>
        <v/>
      </c>
      <c r="U169" s="16" t="str">
        <f>IF(AND(U$10&gt;=$D169,U$11&lt;=$E169),VLOOKUP($F169,$K$2:AI$8,U$1,"Falsch"),"")</f>
        <v/>
      </c>
      <c r="V169" s="16" t="str">
        <f>IF(AND(V$10&gt;=$D169,V$11&lt;=$E169),VLOOKUP($F169,$K$2:AJ$8,V$1,"Falsch"),"")</f>
        <v/>
      </c>
      <c r="W169" s="16" t="str">
        <f>IF(AND(W$10&gt;=$D169,W$11&lt;=$E169),VLOOKUP($F169,$K$2:AK$8,W$1,"Falsch"),"")</f>
        <v/>
      </c>
      <c r="X169" s="16" t="str">
        <f>IF(AND(X$10&gt;=$D169,X$11&lt;=$E169),VLOOKUP($F169,$K$2:AL$8,X$1,"Falsch"),"")</f>
        <v/>
      </c>
      <c r="Y169" s="16" t="str">
        <f>IF(AND(Y$10&gt;=$D169,Y$11&lt;=$E169),VLOOKUP($F169,$K$2:AM$8,Y$1,"Falsch"),"")</f>
        <v/>
      </c>
      <c r="Z169" s="16" t="str">
        <f>IF(AND(Z$10&gt;=$D169,Z$11&lt;=$E169),VLOOKUP($F169,$K$2:AN$8,Z$1,"Falsch"),"")</f>
        <v/>
      </c>
      <c r="AA169" s="16" t="str">
        <f>IF(AND(AA$10&gt;=$D169,AA$11&lt;=$E169),VLOOKUP($F169,$K$2:AO$8,AA$1,"Falsch"),"")</f>
        <v/>
      </c>
      <c r="AB169" s="16" t="str">
        <f>IF(AND(AB$10&gt;=$D169,AB$11&lt;=$E169),VLOOKUP($F169,$K$2:AP$8,AB$1,"Falsch"),"")</f>
        <v/>
      </c>
      <c r="AC169" s="16" t="str">
        <f>IF(AND(AC$10&gt;=$D169,AC$11&lt;=$E169),VLOOKUP($F169,$K$2:AQ$8,AC$1,"Falsch"),"")</f>
        <v/>
      </c>
      <c r="AD169" s="16" t="str">
        <f>IF(AND(AD$10&gt;=$D169,AD$11&lt;=$E169),VLOOKUP($F169,$K$2:AR$8,AD$1,"Falsch"),"")</f>
        <v/>
      </c>
    </row>
    <row r="170" spans="9:30" x14ac:dyDescent="0.25">
      <c r="I170" s="21">
        <f t="shared" si="35"/>
        <v>0</v>
      </c>
      <c r="K170" s="25">
        <f t="shared" si="34"/>
        <v>0</v>
      </c>
      <c r="L170" s="16" t="str">
        <f>IF(AND(L$10&gt;=$D170,L$11&lt;=$E170),VLOOKUP($F170,$K$2:Z$8,L$1,"Falsch"),"")</f>
        <v/>
      </c>
      <c r="M170" s="16" t="str">
        <f>IF(AND(M$10&gt;=$D170,M$11&lt;=$E170),VLOOKUP($F170,$K$2:AA$8,M$1,"Falsch"),"")</f>
        <v/>
      </c>
      <c r="N170" s="16" t="str">
        <f>IF(AND(N$10&gt;=$D170,N$11&lt;=$E170),VLOOKUP($F170,$K$2:AB$8,N$1,"Falsch"),"")</f>
        <v/>
      </c>
      <c r="O170" s="16" t="str">
        <f>IF(AND(O$10&gt;=$D170,O$11&lt;=$E170),VLOOKUP($F170,$K$2:AC$8,O$1,"Falsch"),"")</f>
        <v/>
      </c>
      <c r="P170" s="16" t="str">
        <f>IF(AND(P$10&gt;=$D170,P$11&lt;=$E170),VLOOKUP($F170,$K$2:AD$8,P$1,"Falsch"),"")</f>
        <v/>
      </c>
      <c r="Q170" s="16" t="str">
        <f>IF(AND(Q$10&gt;=$D170,Q$11&lt;=$E170),VLOOKUP($F170,$K$2:AE$8,Q$1,"Falsch"),"")</f>
        <v/>
      </c>
      <c r="R170" s="16" t="str">
        <f>IF(AND(R$10&gt;=$D170,R$11&lt;=$E170),VLOOKUP($F170,$K$2:AF$8,R$1,"Falsch"),"")</f>
        <v/>
      </c>
      <c r="S170" s="16" t="str">
        <f>IF(AND(S$10&gt;=$D170,S$11&lt;=$E170),VLOOKUP($F170,$K$2:AG$8,S$1,"Falsch"),"")</f>
        <v/>
      </c>
      <c r="T170" s="16" t="str">
        <f>IF(AND(T$10&gt;=$D170,T$11&lt;=$E170),VLOOKUP($F170,$K$2:AH$8,T$1,"Falsch"),"")</f>
        <v/>
      </c>
      <c r="U170" s="16" t="str">
        <f>IF(AND(U$10&gt;=$D170,U$11&lt;=$E170),VLOOKUP($F170,$K$2:AI$8,U$1,"Falsch"),"")</f>
        <v/>
      </c>
      <c r="V170" s="16" t="str">
        <f>IF(AND(V$10&gt;=$D170,V$11&lt;=$E170),VLOOKUP($F170,$K$2:AJ$8,V$1,"Falsch"),"")</f>
        <v/>
      </c>
      <c r="W170" s="16" t="str">
        <f>IF(AND(W$10&gt;=$D170,W$11&lt;=$E170),VLOOKUP($F170,$K$2:AK$8,W$1,"Falsch"),"")</f>
        <v/>
      </c>
      <c r="X170" s="16" t="str">
        <f>IF(AND(X$10&gt;=$D170,X$11&lt;=$E170),VLOOKUP($F170,$K$2:AL$8,X$1,"Falsch"),"")</f>
        <v/>
      </c>
      <c r="Y170" s="16" t="str">
        <f>IF(AND(Y$10&gt;=$D170,Y$11&lt;=$E170),VLOOKUP($F170,$K$2:AM$8,Y$1,"Falsch"),"")</f>
        <v/>
      </c>
      <c r="Z170" s="16" t="str">
        <f>IF(AND(Z$10&gt;=$D170,Z$11&lt;=$E170),VLOOKUP($F170,$K$2:AN$8,Z$1,"Falsch"),"")</f>
        <v/>
      </c>
      <c r="AA170" s="16" t="str">
        <f>IF(AND(AA$10&gt;=$D170,AA$11&lt;=$E170),VLOOKUP($F170,$K$2:AO$8,AA$1,"Falsch"),"")</f>
        <v/>
      </c>
      <c r="AB170" s="16" t="str">
        <f>IF(AND(AB$10&gt;=$D170,AB$11&lt;=$E170),VLOOKUP($F170,$K$2:AP$8,AB$1,"Falsch"),"")</f>
        <v/>
      </c>
      <c r="AC170" s="16" t="str">
        <f>IF(AND(AC$10&gt;=$D170,AC$11&lt;=$E170),VLOOKUP($F170,$K$2:AQ$8,AC$1,"Falsch"),"")</f>
        <v/>
      </c>
      <c r="AD170" s="16" t="str">
        <f>IF(AND(AD$10&gt;=$D170,AD$11&lt;=$E170),VLOOKUP($F170,$K$2:AR$8,AD$1,"Falsch"),"")</f>
        <v/>
      </c>
    </row>
    <row r="171" spans="9:30" x14ac:dyDescent="0.25">
      <c r="I171" s="21">
        <f t="shared" si="35"/>
        <v>0</v>
      </c>
      <c r="K171" s="25">
        <f t="shared" si="34"/>
        <v>0</v>
      </c>
      <c r="L171" s="16" t="str">
        <f>IF(AND(L$10&gt;=$D171,L$11&lt;=$E171),VLOOKUP($F171,$K$2:Z$8,L$1,"Falsch"),"")</f>
        <v/>
      </c>
      <c r="M171" s="16" t="str">
        <f>IF(AND(M$10&gt;=$D171,M$11&lt;=$E171),VLOOKUP($F171,$K$2:AA$8,M$1,"Falsch"),"")</f>
        <v/>
      </c>
      <c r="N171" s="16" t="str">
        <f>IF(AND(N$10&gt;=$D171,N$11&lt;=$E171),VLOOKUP($F171,$K$2:AB$8,N$1,"Falsch"),"")</f>
        <v/>
      </c>
      <c r="O171" s="16" t="str">
        <f>IF(AND(O$10&gt;=$D171,O$11&lt;=$E171),VLOOKUP($F171,$K$2:AC$8,O$1,"Falsch"),"")</f>
        <v/>
      </c>
      <c r="P171" s="16" t="str">
        <f>IF(AND(P$10&gt;=$D171,P$11&lt;=$E171),VLOOKUP($F171,$K$2:AD$8,P$1,"Falsch"),"")</f>
        <v/>
      </c>
      <c r="Q171" s="16" t="str">
        <f>IF(AND(Q$10&gt;=$D171,Q$11&lt;=$E171),VLOOKUP($F171,$K$2:AE$8,Q$1,"Falsch"),"")</f>
        <v/>
      </c>
      <c r="R171" s="16" t="str">
        <f>IF(AND(R$10&gt;=$D171,R$11&lt;=$E171),VLOOKUP($F171,$K$2:AF$8,R$1,"Falsch"),"")</f>
        <v/>
      </c>
      <c r="S171" s="16" t="str">
        <f>IF(AND(S$10&gt;=$D171,S$11&lt;=$E171),VLOOKUP($F171,$K$2:AG$8,S$1,"Falsch"),"")</f>
        <v/>
      </c>
      <c r="T171" s="16" t="str">
        <f>IF(AND(T$10&gt;=$D171,T$11&lt;=$E171),VLOOKUP($F171,$K$2:AH$8,T$1,"Falsch"),"")</f>
        <v/>
      </c>
      <c r="U171" s="16" t="str">
        <f>IF(AND(U$10&gt;=$D171,U$11&lt;=$E171),VLOOKUP($F171,$K$2:AI$8,U$1,"Falsch"),"")</f>
        <v/>
      </c>
      <c r="V171" s="16" t="str">
        <f>IF(AND(V$10&gt;=$D171,V$11&lt;=$E171),VLOOKUP($F171,$K$2:AJ$8,V$1,"Falsch"),"")</f>
        <v/>
      </c>
      <c r="W171" s="16" t="str">
        <f>IF(AND(W$10&gt;=$D171,W$11&lt;=$E171),VLOOKUP($F171,$K$2:AK$8,W$1,"Falsch"),"")</f>
        <v/>
      </c>
      <c r="X171" s="16" t="str">
        <f>IF(AND(X$10&gt;=$D171,X$11&lt;=$E171),VLOOKUP($F171,$K$2:AL$8,X$1,"Falsch"),"")</f>
        <v/>
      </c>
      <c r="Y171" s="16" t="str">
        <f>IF(AND(Y$10&gt;=$D171,Y$11&lt;=$E171),VLOOKUP($F171,$K$2:AM$8,Y$1,"Falsch"),"")</f>
        <v/>
      </c>
      <c r="Z171" s="16" t="str">
        <f>IF(AND(Z$10&gt;=$D171,Z$11&lt;=$E171),VLOOKUP($F171,$K$2:AN$8,Z$1,"Falsch"),"")</f>
        <v/>
      </c>
      <c r="AA171" s="16" t="str">
        <f>IF(AND(AA$10&gt;=$D171,AA$11&lt;=$E171),VLOOKUP($F171,$K$2:AO$8,AA$1,"Falsch"),"")</f>
        <v/>
      </c>
      <c r="AB171" s="16" t="str">
        <f>IF(AND(AB$10&gt;=$D171,AB$11&lt;=$E171),VLOOKUP($F171,$K$2:AP$8,AB$1,"Falsch"),"")</f>
        <v/>
      </c>
      <c r="AC171" s="16" t="str">
        <f>IF(AND(AC$10&gt;=$D171,AC$11&lt;=$E171),VLOOKUP($F171,$K$2:AQ$8,AC$1,"Falsch"),"")</f>
        <v/>
      </c>
      <c r="AD171" s="16" t="str">
        <f>IF(AND(AD$10&gt;=$D171,AD$11&lt;=$E171),VLOOKUP($F171,$K$2:AR$8,AD$1,"Falsch"),"")</f>
        <v/>
      </c>
    </row>
    <row r="172" spans="9:30" x14ac:dyDescent="0.25">
      <c r="I172" s="21">
        <f t="shared" si="35"/>
        <v>0</v>
      </c>
      <c r="K172" s="25">
        <f t="shared" si="34"/>
        <v>0</v>
      </c>
      <c r="L172" s="16" t="str">
        <f>IF(AND(L$10&gt;=$D172,L$11&lt;=$E172),VLOOKUP($F172,$K$2:Z$8,L$1,"Falsch"),"")</f>
        <v/>
      </c>
      <c r="M172" s="16" t="str">
        <f>IF(AND(M$10&gt;=$D172,M$11&lt;=$E172),VLOOKUP($F172,$K$2:AA$8,M$1,"Falsch"),"")</f>
        <v/>
      </c>
      <c r="N172" s="16" t="str">
        <f>IF(AND(N$10&gt;=$D172,N$11&lt;=$E172),VLOOKUP($F172,$K$2:AB$8,N$1,"Falsch"),"")</f>
        <v/>
      </c>
      <c r="O172" s="16" t="str">
        <f>IF(AND(O$10&gt;=$D172,O$11&lt;=$E172),VLOOKUP($F172,$K$2:AC$8,O$1,"Falsch"),"")</f>
        <v/>
      </c>
      <c r="P172" s="16" t="str">
        <f>IF(AND(P$10&gt;=$D172,P$11&lt;=$E172),VLOOKUP($F172,$K$2:AD$8,P$1,"Falsch"),"")</f>
        <v/>
      </c>
      <c r="Q172" s="16" t="str">
        <f>IF(AND(Q$10&gt;=$D172,Q$11&lt;=$E172),VLOOKUP($F172,$K$2:AE$8,Q$1,"Falsch"),"")</f>
        <v/>
      </c>
      <c r="R172" s="16" t="str">
        <f>IF(AND(R$10&gt;=$D172,R$11&lt;=$E172),VLOOKUP($F172,$K$2:AF$8,R$1,"Falsch"),"")</f>
        <v/>
      </c>
      <c r="S172" s="16" t="str">
        <f>IF(AND(S$10&gt;=$D172,S$11&lt;=$E172),VLOOKUP($F172,$K$2:AG$8,S$1,"Falsch"),"")</f>
        <v/>
      </c>
      <c r="T172" s="16" t="str">
        <f>IF(AND(T$10&gt;=$D172,T$11&lt;=$E172),VLOOKUP($F172,$K$2:AH$8,T$1,"Falsch"),"")</f>
        <v/>
      </c>
      <c r="U172" s="16" t="str">
        <f>IF(AND(U$10&gt;=$D172,U$11&lt;=$E172),VLOOKUP($F172,$K$2:AI$8,U$1,"Falsch"),"")</f>
        <v/>
      </c>
      <c r="V172" s="16" t="str">
        <f>IF(AND(V$10&gt;=$D172,V$11&lt;=$E172),VLOOKUP($F172,$K$2:AJ$8,V$1,"Falsch"),"")</f>
        <v/>
      </c>
      <c r="W172" s="16" t="str">
        <f>IF(AND(W$10&gt;=$D172,W$11&lt;=$E172),VLOOKUP($F172,$K$2:AK$8,W$1,"Falsch"),"")</f>
        <v/>
      </c>
      <c r="X172" s="16" t="str">
        <f>IF(AND(X$10&gt;=$D172,X$11&lt;=$E172),VLOOKUP($F172,$K$2:AL$8,X$1,"Falsch"),"")</f>
        <v/>
      </c>
      <c r="Y172" s="16" t="str">
        <f>IF(AND(Y$10&gt;=$D172,Y$11&lt;=$E172),VLOOKUP($F172,$K$2:AM$8,Y$1,"Falsch"),"")</f>
        <v/>
      </c>
      <c r="Z172" s="16" t="str">
        <f>IF(AND(Z$10&gt;=$D172,Z$11&lt;=$E172),VLOOKUP($F172,$K$2:AN$8,Z$1,"Falsch"),"")</f>
        <v/>
      </c>
      <c r="AA172" s="16" t="str">
        <f>IF(AND(AA$10&gt;=$D172,AA$11&lt;=$E172),VLOOKUP($F172,$K$2:AO$8,AA$1,"Falsch"),"")</f>
        <v/>
      </c>
      <c r="AB172" s="16" t="str">
        <f>IF(AND(AB$10&gt;=$D172,AB$11&lt;=$E172),VLOOKUP($F172,$K$2:AP$8,AB$1,"Falsch"),"")</f>
        <v/>
      </c>
      <c r="AC172" s="16" t="str">
        <f>IF(AND(AC$10&gt;=$D172,AC$11&lt;=$E172),VLOOKUP($F172,$K$2:AQ$8,AC$1,"Falsch"),"")</f>
        <v/>
      </c>
      <c r="AD172" s="16" t="str">
        <f>IF(AND(AD$10&gt;=$D172,AD$11&lt;=$E172),VLOOKUP($F172,$K$2:AR$8,AD$1,"Falsch"),"")</f>
        <v/>
      </c>
    </row>
    <row r="173" spans="9:30" x14ac:dyDescent="0.25">
      <c r="I173" s="21">
        <f t="shared" si="35"/>
        <v>0</v>
      </c>
      <c r="K173" s="25">
        <f t="shared" si="34"/>
        <v>0</v>
      </c>
      <c r="L173" s="16" t="str">
        <f>IF(AND(L$10&gt;=$D173,L$11&lt;=$E173),VLOOKUP($F173,$K$2:Z$8,L$1,"Falsch"),"")</f>
        <v/>
      </c>
      <c r="M173" s="16" t="str">
        <f>IF(AND(M$10&gt;=$D173,M$11&lt;=$E173),VLOOKUP($F173,$K$2:AA$8,M$1,"Falsch"),"")</f>
        <v/>
      </c>
      <c r="N173" s="16" t="str">
        <f>IF(AND(N$10&gt;=$D173,N$11&lt;=$E173),VLOOKUP($F173,$K$2:AB$8,N$1,"Falsch"),"")</f>
        <v/>
      </c>
      <c r="O173" s="16" t="str">
        <f>IF(AND(O$10&gt;=$D173,O$11&lt;=$E173),VLOOKUP($F173,$K$2:AC$8,O$1,"Falsch"),"")</f>
        <v/>
      </c>
      <c r="P173" s="16" t="str">
        <f>IF(AND(P$10&gt;=$D173,P$11&lt;=$E173),VLOOKUP($F173,$K$2:AD$8,P$1,"Falsch"),"")</f>
        <v/>
      </c>
      <c r="Q173" s="16" t="str">
        <f>IF(AND(Q$10&gt;=$D173,Q$11&lt;=$E173),VLOOKUP($F173,$K$2:AE$8,Q$1,"Falsch"),"")</f>
        <v/>
      </c>
      <c r="R173" s="16" t="str">
        <f>IF(AND(R$10&gt;=$D173,R$11&lt;=$E173),VLOOKUP($F173,$K$2:AF$8,R$1,"Falsch"),"")</f>
        <v/>
      </c>
      <c r="S173" s="16" t="str">
        <f>IF(AND(S$10&gt;=$D173,S$11&lt;=$E173),VLOOKUP($F173,$K$2:AG$8,S$1,"Falsch"),"")</f>
        <v/>
      </c>
      <c r="T173" s="16" t="str">
        <f>IF(AND(T$10&gt;=$D173,T$11&lt;=$E173),VLOOKUP($F173,$K$2:AH$8,T$1,"Falsch"),"")</f>
        <v/>
      </c>
      <c r="U173" s="16" t="str">
        <f>IF(AND(U$10&gt;=$D173,U$11&lt;=$E173),VLOOKUP($F173,$K$2:AI$8,U$1,"Falsch"),"")</f>
        <v/>
      </c>
      <c r="V173" s="16" t="str">
        <f>IF(AND(V$10&gt;=$D173,V$11&lt;=$E173),VLOOKUP($F173,$K$2:AJ$8,V$1,"Falsch"),"")</f>
        <v/>
      </c>
      <c r="W173" s="16" t="str">
        <f>IF(AND(W$10&gt;=$D173,W$11&lt;=$E173),VLOOKUP($F173,$K$2:AK$8,W$1,"Falsch"),"")</f>
        <v/>
      </c>
      <c r="X173" s="16" t="str">
        <f>IF(AND(X$10&gt;=$D173,X$11&lt;=$E173),VLOOKUP($F173,$K$2:AL$8,X$1,"Falsch"),"")</f>
        <v/>
      </c>
      <c r="Y173" s="16" t="str">
        <f>IF(AND(Y$10&gt;=$D173,Y$11&lt;=$E173),VLOOKUP($F173,$K$2:AM$8,Y$1,"Falsch"),"")</f>
        <v/>
      </c>
      <c r="Z173" s="16" t="str">
        <f>IF(AND(Z$10&gt;=$D173,Z$11&lt;=$E173),VLOOKUP($F173,$K$2:AN$8,Z$1,"Falsch"),"")</f>
        <v/>
      </c>
      <c r="AA173" s="16" t="str">
        <f>IF(AND(AA$10&gt;=$D173,AA$11&lt;=$E173),VLOOKUP($F173,$K$2:AO$8,AA$1,"Falsch"),"")</f>
        <v/>
      </c>
      <c r="AB173" s="16" t="str">
        <f>IF(AND(AB$10&gt;=$D173,AB$11&lt;=$E173),VLOOKUP($F173,$K$2:AP$8,AB$1,"Falsch"),"")</f>
        <v/>
      </c>
      <c r="AC173" s="16" t="str">
        <f>IF(AND(AC$10&gt;=$D173,AC$11&lt;=$E173),VLOOKUP($F173,$K$2:AQ$8,AC$1,"Falsch"),"")</f>
        <v/>
      </c>
      <c r="AD173" s="16" t="str">
        <f>IF(AND(AD$10&gt;=$D173,AD$11&lt;=$E173),VLOOKUP($F173,$K$2:AR$8,AD$1,"Falsch"),"")</f>
        <v/>
      </c>
    </row>
    <row r="174" spans="9:30" x14ac:dyDescent="0.25">
      <c r="I174" s="21">
        <f t="shared" si="35"/>
        <v>0</v>
      </c>
      <c r="K174" s="25">
        <f t="shared" si="34"/>
        <v>0</v>
      </c>
      <c r="L174" s="16" t="str">
        <f>IF(AND(L$10&gt;=$D174,L$11&lt;=$E174),VLOOKUP($F174,$K$2:Z$8,L$1,"Falsch"),"")</f>
        <v/>
      </c>
      <c r="M174" s="16" t="str">
        <f>IF(AND(M$10&gt;=$D174,M$11&lt;=$E174),VLOOKUP($F174,$K$2:AA$8,M$1,"Falsch"),"")</f>
        <v/>
      </c>
      <c r="N174" s="16" t="str">
        <f>IF(AND(N$10&gt;=$D174,N$11&lt;=$E174),VLOOKUP($F174,$K$2:AB$8,N$1,"Falsch"),"")</f>
        <v/>
      </c>
      <c r="O174" s="16" t="str">
        <f>IF(AND(O$10&gt;=$D174,O$11&lt;=$E174),VLOOKUP($F174,$K$2:AC$8,O$1,"Falsch"),"")</f>
        <v/>
      </c>
      <c r="P174" s="16" t="str">
        <f>IF(AND(P$10&gt;=$D174,P$11&lt;=$E174),VLOOKUP($F174,$K$2:AD$8,P$1,"Falsch"),"")</f>
        <v/>
      </c>
      <c r="Q174" s="16" t="str">
        <f>IF(AND(Q$10&gt;=$D174,Q$11&lt;=$E174),VLOOKUP($F174,$K$2:AE$8,Q$1,"Falsch"),"")</f>
        <v/>
      </c>
      <c r="R174" s="16" t="str">
        <f>IF(AND(R$10&gt;=$D174,R$11&lt;=$E174),VLOOKUP($F174,$K$2:AF$8,R$1,"Falsch"),"")</f>
        <v/>
      </c>
      <c r="S174" s="16" t="str">
        <f>IF(AND(S$10&gt;=$D174,S$11&lt;=$E174),VLOOKUP($F174,$K$2:AG$8,S$1,"Falsch"),"")</f>
        <v/>
      </c>
      <c r="T174" s="16" t="str">
        <f>IF(AND(T$10&gt;=$D174,T$11&lt;=$E174),VLOOKUP($F174,$K$2:AH$8,T$1,"Falsch"),"")</f>
        <v/>
      </c>
      <c r="U174" s="16" t="str">
        <f>IF(AND(U$10&gt;=$D174,U$11&lt;=$E174),VLOOKUP($F174,$K$2:AI$8,U$1,"Falsch"),"")</f>
        <v/>
      </c>
      <c r="V174" s="16" t="str">
        <f>IF(AND(V$10&gt;=$D174,V$11&lt;=$E174),VLOOKUP($F174,$K$2:AJ$8,V$1,"Falsch"),"")</f>
        <v/>
      </c>
      <c r="W174" s="16" t="str">
        <f>IF(AND(W$10&gt;=$D174,W$11&lt;=$E174),VLOOKUP($F174,$K$2:AK$8,W$1,"Falsch"),"")</f>
        <v/>
      </c>
      <c r="X174" s="16" t="str">
        <f>IF(AND(X$10&gt;=$D174,X$11&lt;=$E174),VLOOKUP($F174,$K$2:AL$8,X$1,"Falsch"),"")</f>
        <v/>
      </c>
      <c r="Y174" s="16" t="str">
        <f>IF(AND(Y$10&gt;=$D174,Y$11&lt;=$E174),VLOOKUP($F174,$K$2:AM$8,Y$1,"Falsch"),"")</f>
        <v/>
      </c>
      <c r="Z174" s="16" t="str">
        <f>IF(AND(Z$10&gt;=$D174,Z$11&lt;=$E174),VLOOKUP($F174,$K$2:AN$8,Z$1,"Falsch"),"")</f>
        <v/>
      </c>
      <c r="AA174" s="16" t="str">
        <f>IF(AND(AA$10&gt;=$D174,AA$11&lt;=$E174),VLOOKUP($F174,$K$2:AO$8,AA$1,"Falsch"),"")</f>
        <v/>
      </c>
      <c r="AB174" s="16" t="str">
        <f>IF(AND(AB$10&gt;=$D174,AB$11&lt;=$E174),VLOOKUP($F174,$K$2:AP$8,AB$1,"Falsch"),"")</f>
        <v/>
      </c>
      <c r="AC174" s="16" t="str">
        <f>IF(AND(AC$10&gt;=$D174,AC$11&lt;=$E174),VLOOKUP($F174,$K$2:AQ$8,AC$1,"Falsch"),"")</f>
        <v/>
      </c>
      <c r="AD174" s="16" t="str">
        <f>IF(AND(AD$10&gt;=$D174,AD$11&lt;=$E174),VLOOKUP($F174,$K$2:AR$8,AD$1,"Falsch"),"")</f>
        <v/>
      </c>
    </row>
    <row r="175" spans="9:30" x14ac:dyDescent="0.25">
      <c r="I175" s="21">
        <f t="shared" si="35"/>
        <v>0</v>
      </c>
      <c r="K175" s="25">
        <f t="shared" si="34"/>
        <v>0</v>
      </c>
      <c r="L175" s="16" t="str">
        <f>IF(AND(L$10&gt;=$D175,L$11&lt;=$E175),VLOOKUP($F175,$K$2:Z$8,L$1,"Falsch"),"")</f>
        <v/>
      </c>
      <c r="M175" s="16" t="str">
        <f>IF(AND(M$10&gt;=$D175,M$11&lt;=$E175),VLOOKUP($F175,$K$2:AA$8,M$1,"Falsch"),"")</f>
        <v/>
      </c>
      <c r="N175" s="16" t="str">
        <f>IF(AND(N$10&gt;=$D175,N$11&lt;=$E175),VLOOKUP($F175,$K$2:AB$8,N$1,"Falsch"),"")</f>
        <v/>
      </c>
      <c r="O175" s="16" t="str">
        <f>IF(AND(O$10&gt;=$D175,O$11&lt;=$E175),VLOOKUP($F175,$K$2:AC$8,O$1,"Falsch"),"")</f>
        <v/>
      </c>
      <c r="P175" s="16" t="str">
        <f>IF(AND(P$10&gt;=$D175,P$11&lt;=$E175),VLOOKUP($F175,$K$2:AD$8,P$1,"Falsch"),"")</f>
        <v/>
      </c>
      <c r="Q175" s="16" t="str">
        <f>IF(AND(Q$10&gt;=$D175,Q$11&lt;=$E175),VLOOKUP($F175,$K$2:AE$8,Q$1,"Falsch"),"")</f>
        <v/>
      </c>
      <c r="R175" s="16" t="str">
        <f>IF(AND(R$10&gt;=$D175,R$11&lt;=$E175),VLOOKUP($F175,$K$2:AF$8,R$1,"Falsch"),"")</f>
        <v/>
      </c>
      <c r="S175" s="16" t="str">
        <f>IF(AND(S$10&gt;=$D175,S$11&lt;=$E175),VLOOKUP($F175,$K$2:AG$8,S$1,"Falsch"),"")</f>
        <v/>
      </c>
      <c r="T175" s="16" t="str">
        <f>IF(AND(T$10&gt;=$D175,T$11&lt;=$E175),VLOOKUP($F175,$K$2:AH$8,T$1,"Falsch"),"")</f>
        <v/>
      </c>
      <c r="U175" s="16" t="str">
        <f>IF(AND(U$10&gt;=$D175,U$11&lt;=$E175),VLOOKUP($F175,$K$2:AI$8,U$1,"Falsch"),"")</f>
        <v/>
      </c>
      <c r="V175" s="16" t="str">
        <f>IF(AND(V$10&gt;=$D175,V$11&lt;=$E175),VLOOKUP($F175,$K$2:AJ$8,V$1,"Falsch"),"")</f>
        <v/>
      </c>
      <c r="W175" s="16" t="str">
        <f>IF(AND(W$10&gt;=$D175,W$11&lt;=$E175),VLOOKUP($F175,$K$2:AK$8,W$1,"Falsch"),"")</f>
        <v/>
      </c>
      <c r="X175" s="16" t="str">
        <f>IF(AND(X$10&gt;=$D175,X$11&lt;=$E175),VLOOKUP($F175,$K$2:AL$8,X$1,"Falsch"),"")</f>
        <v/>
      </c>
      <c r="Y175" s="16" t="str">
        <f>IF(AND(Y$10&gt;=$D175,Y$11&lt;=$E175),VLOOKUP($F175,$K$2:AM$8,Y$1,"Falsch"),"")</f>
        <v/>
      </c>
      <c r="Z175" s="16" t="str">
        <f>IF(AND(Z$10&gt;=$D175,Z$11&lt;=$E175),VLOOKUP($F175,$K$2:AN$8,Z$1,"Falsch"),"")</f>
        <v/>
      </c>
      <c r="AA175" s="16" t="str">
        <f>IF(AND(AA$10&gt;=$D175,AA$11&lt;=$E175),VLOOKUP($F175,$K$2:AO$8,AA$1,"Falsch"),"")</f>
        <v/>
      </c>
      <c r="AB175" s="16" t="str">
        <f>IF(AND(AB$10&gt;=$D175,AB$11&lt;=$E175),VLOOKUP($F175,$K$2:AP$8,AB$1,"Falsch"),"")</f>
        <v/>
      </c>
      <c r="AC175" s="16" t="str">
        <f>IF(AND(AC$10&gt;=$D175,AC$11&lt;=$E175),VLOOKUP($F175,$K$2:AQ$8,AC$1,"Falsch"),"")</f>
        <v/>
      </c>
      <c r="AD175" s="16" t="str">
        <f>IF(AND(AD$10&gt;=$D175,AD$11&lt;=$E175),VLOOKUP($F175,$K$2:AR$8,AD$1,"Falsch"),"")</f>
        <v/>
      </c>
    </row>
    <row r="176" spans="9:30" x14ac:dyDescent="0.25">
      <c r="I176" s="21">
        <f t="shared" si="35"/>
        <v>0</v>
      </c>
      <c r="K176" s="25">
        <f t="shared" si="34"/>
        <v>0</v>
      </c>
      <c r="L176" s="16" t="str">
        <f>IF(AND(L$10&gt;=$D176,L$11&lt;=$E176),VLOOKUP($F176,$K$2:Z$8,L$1,"Falsch"),"")</f>
        <v/>
      </c>
      <c r="M176" s="16" t="str">
        <f>IF(AND(M$10&gt;=$D176,M$11&lt;=$E176),VLOOKUP($F176,$K$2:AA$8,M$1,"Falsch"),"")</f>
        <v/>
      </c>
      <c r="N176" s="16" t="str">
        <f>IF(AND(N$10&gt;=$D176,N$11&lt;=$E176),VLOOKUP($F176,$K$2:AB$8,N$1,"Falsch"),"")</f>
        <v/>
      </c>
      <c r="O176" s="16" t="str">
        <f>IF(AND(O$10&gt;=$D176,O$11&lt;=$E176),VLOOKUP($F176,$K$2:AC$8,O$1,"Falsch"),"")</f>
        <v/>
      </c>
      <c r="P176" s="16" t="str">
        <f>IF(AND(P$10&gt;=$D176,P$11&lt;=$E176),VLOOKUP($F176,$K$2:AD$8,P$1,"Falsch"),"")</f>
        <v/>
      </c>
      <c r="Q176" s="16" t="str">
        <f>IF(AND(Q$10&gt;=$D176,Q$11&lt;=$E176),VLOOKUP($F176,$K$2:AE$8,Q$1,"Falsch"),"")</f>
        <v/>
      </c>
      <c r="R176" s="16" t="str">
        <f>IF(AND(R$10&gt;=$D176,R$11&lt;=$E176),VLOOKUP($F176,$K$2:AF$8,R$1,"Falsch"),"")</f>
        <v/>
      </c>
      <c r="S176" s="16" t="str">
        <f>IF(AND(S$10&gt;=$D176,S$11&lt;=$E176),VLOOKUP($F176,$K$2:AG$8,S$1,"Falsch"),"")</f>
        <v/>
      </c>
      <c r="T176" s="16" t="str">
        <f>IF(AND(T$10&gt;=$D176,T$11&lt;=$E176),VLOOKUP($F176,$K$2:AH$8,T$1,"Falsch"),"")</f>
        <v/>
      </c>
      <c r="U176" s="16" t="str">
        <f>IF(AND(U$10&gt;=$D176,U$11&lt;=$E176),VLOOKUP($F176,$K$2:AI$8,U$1,"Falsch"),"")</f>
        <v/>
      </c>
      <c r="V176" s="16" t="str">
        <f>IF(AND(V$10&gt;=$D176,V$11&lt;=$E176),VLOOKUP($F176,$K$2:AJ$8,V$1,"Falsch"),"")</f>
        <v/>
      </c>
      <c r="W176" s="16" t="str">
        <f>IF(AND(W$10&gt;=$D176,W$11&lt;=$E176),VLOOKUP($F176,$K$2:AK$8,W$1,"Falsch"),"")</f>
        <v/>
      </c>
      <c r="X176" s="16" t="str">
        <f>IF(AND(X$10&gt;=$D176,X$11&lt;=$E176),VLOOKUP($F176,$K$2:AL$8,X$1,"Falsch"),"")</f>
        <v/>
      </c>
      <c r="Y176" s="16" t="str">
        <f>IF(AND(Y$10&gt;=$D176,Y$11&lt;=$E176),VLOOKUP($F176,$K$2:AM$8,Y$1,"Falsch"),"")</f>
        <v/>
      </c>
      <c r="Z176" s="16" t="str">
        <f>IF(AND(Z$10&gt;=$D176,Z$11&lt;=$E176),VLOOKUP($F176,$K$2:AN$8,Z$1,"Falsch"),"")</f>
        <v/>
      </c>
      <c r="AA176" s="16" t="str">
        <f>IF(AND(AA$10&gt;=$D176,AA$11&lt;=$E176),VLOOKUP($F176,$K$2:AO$8,AA$1,"Falsch"),"")</f>
        <v/>
      </c>
      <c r="AB176" s="16" t="str">
        <f>IF(AND(AB$10&gt;=$D176,AB$11&lt;=$E176),VLOOKUP($F176,$K$2:AP$8,AB$1,"Falsch"),"")</f>
        <v/>
      </c>
      <c r="AC176" s="16" t="str">
        <f>IF(AND(AC$10&gt;=$D176,AC$11&lt;=$E176),VLOOKUP($F176,$K$2:AQ$8,AC$1,"Falsch"),"")</f>
        <v/>
      </c>
      <c r="AD176" s="16" t="str">
        <f>IF(AND(AD$10&gt;=$D176,AD$11&lt;=$E176),VLOOKUP($F176,$K$2:AR$8,AD$1,"Falsch"),"")</f>
        <v/>
      </c>
    </row>
    <row r="177" spans="9:30" x14ac:dyDescent="0.25">
      <c r="I177" s="21">
        <f t="shared" si="35"/>
        <v>0</v>
      </c>
      <c r="K177" s="25">
        <f t="shared" si="34"/>
        <v>0</v>
      </c>
      <c r="L177" s="16" t="str">
        <f>IF(AND(L$10&gt;=$D177,L$11&lt;=$E177),VLOOKUP($F177,$K$2:Z$8,L$1,"Falsch"),"")</f>
        <v/>
      </c>
      <c r="M177" s="16" t="str">
        <f>IF(AND(M$10&gt;=$D177,M$11&lt;=$E177),VLOOKUP($F177,$K$2:AA$8,M$1,"Falsch"),"")</f>
        <v/>
      </c>
      <c r="N177" s="16" t="str">
        <f>IF(AND(N$10&gt;=$D177,N$11&lt;=$E177),VLOOKUP($F177,$K$2:AB$8,N$1,"Falsch"),"")</f>
        <v/>
      </c>
      <c r="O177" s="16" t="str">
        <f>IF(AND(O$10&gt;=$D177,O$11&lt;=$E177),VLOOKUP($F177,$K$2:AC$8,O$1,"Falsch"),"")</f>
        <v/>
      </c>
      <c r="P177" s="16" t="str">
        <f>IF(AND(P$10&gt;=$D177,P$11&lt;=$E177),VLOOKUP($F177,$K$2:AD$8,P$1,"Falsch"),"")</f>
        <v/>
      </c>
      <c r="Q177" s="16" t="str">
        <f>IF(AND(Q$10&gt;=$D177,Q$11&lt;=$E177),VLOOKUP($F177,$K$2:AE$8,Q$1,"Falsch"),"")</f>
        <v/>
      </c>
      <c r="R177" s="16" t="str">
        <f>IF(AND(R$10&gt;=$D177,R$11&lt;=$E177),VLOOKUP($F177,$K$2:AF$8,R$1,"Falsch"),"")</f>
        <v/>
      </c>
      <c r="S177" s="16" t="str">
        <f>IF(AND(S$10&gt;=$D177,S$11&lt;=$E177),VLOOKUP($F177,$K$2:AG$8,S$1,"Falsch"),"")</f>
        <v/>
      </c>
      <c r="T177" s="16" t="str">
        <f>IF(AND(T$10&gt;=$D177,T$11&lt;=$E177),VLOOKUP($F177,$K$2:AH$8,T$1,"Falsch"),"")</f>
        <v/>
      </c>
      <c r="U177" s="16" t="str">
        <f>IF(AND(U$10&gt;=$D177,U$11&lt;=$E177),VLOOKUP($F177,$K$2:AI$8,U$1,"Falsch"),"")</f>
        <v/>
      </c>
      <c r="V177" s="16" t="str">
        <f>IF(AND(V$10&gt;=$D177,V$11&lt;=$E177),VLOOKUP($F177,$K$2:AJ$8,V$1,"Falsch"),"")</f>
        <v/>
      </c>
      <c r="W177" s="16" t="str">
        <f>IF(AND(W$10&gt;=$D177,W$11&lt;=$E177),VLOOKUP($F177,$K$2:AK$8,W$1,"Falsch"),"")</f>
        <v/>
      </c>
      <c r="X177" s="16" t="str">
        <f>IF(AND(X$10&gt;=$D177,X$11&lt;=$E177),VLOOKUP($F177,$K$2:AL$8,X$1,"Falsch"),"")</f>
        <v/>
      </c>
      <c r="Y177" s="16" t="str">
        <f>IF(AND(Y$10&gt;=$D177,Y$11&lt;=$E177),VLOOKUP($F177,$K$2:AM$8,Y$1,"Falsch"),"")</f>
        <v/>
      </c>
      <c r="Z177" s="16" t="str">
        <f>IF(AND(Z$10&gt;=$D177,Z$11&lt;=$E177),VLOOKUP($F177,$K$2:AN$8,Z$1,"Falsch"),"")</f>
        <v/>
      </c>
      <c r="AA177" s="16" t="str">
        <f>IF(AND(AA$10&gt;=$D177,AA$11&lt;=$E177),VLOOKUP($F177,$K$2:AO$8,AA$1,"Falsch"),"")</f>
        <v/>
      </c>
      <c r="AB177" s="16" t="str">
        <f>IF(AND(AB$10&gt;=$D177,AB$11&lt;=$E177),VLOOKUP($F177,$K$2:AP$8,AB$1,"Falsch"),"")</f>
        <v/>
      </c>
      <c r="AC177" s="16" t="str">
        <f>IF(AND(AC$10&gt;=$D177,AC$11&lt;=$E177),VLOOKUP($F177,$K$2:AQ$8,AC$1,"Falsch"),"")</f>
        <v/>
      </c>
      <c r="AD177" s="16" t="str">
        <f>IF(AND(AD$10&gt;=$D177,AD$11&lt;=$E177),VLOOKUP($F177,$K$2:AR$8,AD$1,"Falsch"),"")</f>
        <v/>
      </c>
    </row>
    <row r="178" spans="9:30" x14ac:dyDescent="0.25">
      <c r="I178" s="21">
        <f t="shared" si="35"/>
        <v>0</v>
      </c>
      <c r="K178" s="25">
        <f t="shared" si="34"/>
        <v>0</v>
      </c>
      <c r="L178" s="16" t="str">
        <f>IF(AND(L$10&gt;=$D178,L$11&lt;=$E178),VLOOKUP($F178,$K$2:Z$8,L$1,"Falsch"),"")</f>
        <v/>
      </c>
      <c r="M178" s="16" t="str">
        <f>IF(AND(M$10&gt;=$D178,M$11&lt;=$E178),VLOOKUP($F178,$K$2:AA$8,M$1,"Falsch"),"")</f>
        <v/>
      </c>
      <c r="N178" s="16" t="str">
        <f>IF(AND(N$10&gt;=$D178,N$11&lt;=$E178),VLOOKUP($F178,$K$2:AB$8,N$1,"Falsch"),"")</f>
        <v/>
      </c>
      <c r="O178" s="16" t="str">
        <f>IF(AND(O$10&gt;=$D178,O$11&lt;=$E178),VLOOKUP($F178,$K$2:AC$8,O$1,"Falsch"),"")</f>
        <v/>
      </c>
      <c r="P178" s="16" t="str">
        <f>IF(AND(P$10&gt;=$D178,P$11&lt;=$E178),VLOOKUP($F178,$K$2:AD$8,P$1,"Falsch"),"")</f>
        <v/>
      </c>
      <c r="Q178" s="16" t="str">
        <f>IF(AND(Q$10&gt;=$D178,Q$11&lt;=$E178),VLOOKUP($F178,$K$2:AE$8,Q$1,"Falsch"),"")</f>
        <v/>
      </c>
      <c r="R178" s="16" t="str">
        <f>IF(AND(R$10&gt;=$D178,R$11&lt;=$E178),VLOOKUP($F178,$K$2:AF$8,R$1,"Falsch"),"")</f>
        <v/>
      </c>
      <c r="S178" s="16" t="str">
        <f>IF(AND(S$10&gt;=$D178,S$11&lt;=$E178),VLOOKUP($F178,$K$2:AG$8,S$1,"Falsch"),"")</f>
        <v/>
      </c>
      <c r="T178" s="16" t="str">
        <f>IF(AND(T$10&gt;=$D178,T$11&lt;=$E178),VLOOKUP($F178,$K$2:AH$8,T$1,"Falsch"),"")</f>
        <v/>
      </c>
      <c r="U178" s="16" t="str">
        <f>IF(AND(U$10&gt;=$D178,U$11&lt;=$E178),VLOOKUP($F178,$K$2:AI$8,U$1,"Falsch"),"")</f>
        <v/>
      </c>
      <c r="V178" s="16" t="str">
        <f>IF(AND(V$10&gt;=$D178,V$11&lt;=$E178),VLOOKUP($F178,$K$2:AJ$8,V$1,"Falsch"),"")</f>
        <v/>
      </c>
      <c r="W178" s="16" t="str">
        <f>IF(AND(W$10&gt;=$D178,W$11&lt;=$E178),VLOOKUP($F178,$K$2:AK$8,W$1,"Falsch"),"")</f>
        <v/>
      </c>
      <c r="X178" s="16" t="str">
        <f>IF(AND(X$10&gt;=$D178,X$11&lt;=$E178),VLOOKUP($F178,$K$2:AL$8,X$1,"Falsch"),"")</f>
        <v/>
      </c>
      <c r="Y178" s="16" t="str">
        <f>IF(AND(Y$10&gt;=$D178,Y$11&lt;=$E178),VLOOKUP($F178,$K$2:AM$8,Y$1,"Falsch"),"")</f>
        <v/>
      </c>
      <c r="Z178" s="16" t="str">
        <f>IF(AND(Z$10&gt;=$D178,Z$11&lt;=$E178),VLOOKUP($F178,$K$2:AN$8,Z$1,"Falsch"),"")</f>
        <v/>
      </c>
      <c r="AA178" s="16" t="str">
        <f>IF(AND(AA$10&gt;=$D178,AA$11&lt;=$E178),VLOOKUP($F178,$K$2:AO$8,AA$1,"Falsch"),"")</f>
        <v/>
      </c>
      <c r="AB178" s="16" t="str">
        <f>IF(AND(AB$10&gt;=$D178,AB$11&lt;=$E178),VLOOKUP($F178,$K$2:AP$8,AB$1,"Falsch"),"")</f>
        <v/>
      </c>
      <c r="AC178" s="16" t="str">
        <f>IF(AND(AC$10&gt;=$D178,AC$11&lt;=$E178),VLOOKUP($F178,$K$2:AQ$8,AC$1,"Falsch"),"")</f>
        <v/>
      </c>
      <c r="AD178" s="16" t="str">
        <f>IF(AND(AD$10&gt;=$D178,AD$11&lt;=$E178),VLOOKUP($F178,$K$2:AR$8,AD$1,"Falsch"),"")</f>
        <v/>
      </c>
    </row>
    <row r="179" spans="9:30" x14ac:dyDescent="0.25">
      <c r="I179" s="21">
        <f t="shared" si="35"/>
        <v>0</v>
      </c>
      <c r="K179" s="25">
        <f t="shared" si="34"/>
        <v>0</v>
      </c>
      <c r="L179" s="16" t="str">
        <f>IF(AND(L$10&gt;=$D179,L$11&lt;=$E179),VLOOKUP($F179,$K$2:Z$8,L$1,"Falsch"),"")</f>
        <v/>
      </c>
      <c r="M179" s="16" t="str">
        <f>IF(AND(M$10&gt;=$D179,M$11&lt;=$E179),VLOOKUP($F179,$K$2:AA$8,M$1,"Falsch"),"")</f>
        <v/>
      </c>
      <c r="N179" s="16" t="str">
        <f>IF(AND(N$10&gt;=$D179,N$11&lt;=$E179),VLOOKUP($F179,$K$2:AB$8,N$1,"Falsch"),"")</f>
        <v/>
      </c>
      <c r="O179" s="16" t="str">
        <f>IF(AND(O$10&gt;=$D179,O$11&lt;=$E179),VLOOKUP($F179,$K$2:AC$8,O$1,"Falsch"),"")</f>
        <v/>
      </c>
      <c r="P179" s="16" t="str">
        <f>IF(AND(P$10&gt;=$D179,P$11&lt;=$E179),VLOOKUP($F179,$K$2:AD$8,P$1,"Falsch"),"")</f>
        <v/>
      </c>
      <c r="Q179" s="16" t="str">
        <f>IF(AND(Q$10&gt;=$D179,Q$11&lt;=$E179),VLOOKUP($F179,$K$2:AE$8,Q$1,"Falsch"),"")</f>
        <v/>
      </c>
      <c r="R179" s="16" t="str">
        <f>IF(AND(R$10&gt;=$D179,R$11&lt;=$E179),VLOOKUP($F179,$K$2:AF$8,R$1,"Falsch"),"")</f>
        <v/>
      </c>
      <c r="S179" s="16" t="str">
        <f>IF(AND(S$10&gt;=$D179,S$11&lt;=$E179),VLOOKUP($F179,$K$2:AG$8,S$1,"Falsch"),"")</f>
        <v/>
      </c>
      <c r="T179" s="16" t="str">
        <f>IF(AND(T$10&gt;=$D179,T$11&lt;=$E179),VLOOKUP($F179,$K$2:AH$8,T$1,"Falsch"),"")</f>
        <v/>
      </c>
      <c r="U179" s="16" t="str">
        <f>IF(AND(U$10&gt;=$D179,U$11&lt;=$E179),VLOOKUP($F179,$K$2:AI$8,U$1,"Falsch"),"")</f>
        <v/>
      </c>
      <c r="V179" s="16" t="str">
        <f>IF(AND(V$10&gt;=$D179,V$11&lt;=$E179),VLOOKUP($F179,$K$2:AJ$8,V$1,"Falsch"),"")</f>
        <v/>
      </c>
      <c r="W179" s="16" t="str">
        <f>IF(AND(W$10&gt;=$D179,W$11&lt;=$E179),VLOOKUP($F179,$K$2:AK$8,W$1,"Falsch"),"")</f>
        <v/>
      </c>
      <c r="X179" s="16" t="str">
        <f>IF(AND(X$10&gt;=$D179,X$11&lt;=$E179),VLOOKUP($F179,$K$2:AL$8,X$1,"Falsch"),"")</f>
        <v/>
      </c>
      <c r="Y179" s="16" t="str">
        <f>IF(AND(Y$10&gt;=$D179,Y$11&lt;=$E179),VLOOKUP($F179,$K$2:AM$8,Y$1,"Falsch"),"")</f>
        <v/>
      </c>
      <c r="Z179" s="16" t="str">
        <f>IF(AND(Z$10&gt;=$D179,Z$11&lt;=$E179),VLOOKUP($F179,$K$2:AN$8,Z$1,"Falsch"),"")</f>
        <v/>
      </c>
      <c r="AA179" s="16" t="str">
        <f>IF(AND(AA$10&gt;=$D179,AA$11&lt;=$E179),VLOOKUP($F179,$K$2:AO$8,AA$1,"Falsch"),"")</f>
        <v/>
      </c>
      <c r="AB179" s="16" t="str">
        <f>IF(AND(AB$10&gt;=$D179,AB$11&lt;=$E179),VLOOKUP($F179,$K$2:AP$8,AB$1,"Falsch"),"")</f>
        <v/>
      </c>
      <c r="AC179" s="16" t="str">
        <f>IF(AND(AC$10&gt;=$D179,AC$11&lt;=$E179),VLOOKUP($F179,$K$2:AQ$8,AC$1,"Falsch"),"")</f>
        <v/>
      </c>
      <c r="AD179" s="16" t="str">
        <f>IF(AND(AD$10&gt;=$D179,AD$11&lt;=$E179),VLOOKUP($F179,$K$2:AR$8,AD$1,"Falsch"),"")</f>
        <v/>
      </c>
    </row>
    <row r="180" spans="9:30" x14ac:dyDescent="0.25">
      <c r="I180" s="21">
        <f t="shared" si="35"/>
        <v>0</v>
      </c>
      <c r="K180" s="25">
        <f t="shared" si="34"/>
        <v>0</v>
      </c>
      <c r="L180" s="16" t="str">
        <f>IF(AND(L$10&gt;=$D180,L$11&lt;=$E180),VLOOKUP($F180,$K$2:Z$8,L$1,"Falsch"),"")</f>
        <v/>
      </c>
      <c r="M180" s="16" t="str">
        <f>IF(AND(M$10&gt;=$D180,M$11&lt;=$E180),VLOOKUP($F180,$K$2:AA$8,M$1,"Falsch"),"")</f>
        <v/>
      </c>
      <c r="N180" s="16" t="str">
        <f>IF(AND(N$10&gt;=$D180,N$11&lt;=$E180),VLOOKUP($F180,$K$2:AB$8,N$1,"Falsch"),"")</f>
        <v/>
      </c>
      <c r="O180" s="16" t="str">
        <f>IF(AND(O$10&gt;=$D180,O$11&lt;=$E180),VLOOKUP($F180,$K$2:AC$8,O$1,"Falsch"),"")</f>
        <v/>
      </c>
      <c r="P180" s="16" t="str">
        <f>IF(AND(P$10&gt;=$D180,P$11&lt;=$E180),VLOOKUP($F180,$K$2:AD$8,P$1,"Falsch"),"")</f>
        <v/>
      </c>
      <c r="Q180" s="16" t="str">
        <f>IF(AND(Q$10&gt;=$D180,Q$11&lt;=$E180),VLOOKUP($F180,$K$2:AE$8,Q$1,"Falsch"),"")</f>
        <v/>
      </c>
      <c r="R180" s="16" t="str">
        <f>IF(AND(R$10&gt;=$D180,R$11&lt;=$E180),VLOOKUP($F180,$K$2:AF$8,R$1,"Falsch"),"")</f>
        <v/>
      </c>
      <c r="S180" s="16" t="str">
        <f>IF(AND(S$10&gt;=$D180,S$11&lt;=$E180),VLOOKUP($F180,$K$2:AG$8,S$1,"Falsch"),"")</f>
        <v/>
      </c>
      <c r="T180" s="16" t="str">
        <f>IF(AND(T$10&gt;=$D180,T$11&lt;=$E180),VLOOKUP($F180,$K$2:AH$8,T$1,"Falsch"),"")</f>
        <v/>
      </c>
      <c r="U180" s="16" t="str">
        <f>IF(AND(U$10&gt;=$D180,U$11&lt;=$E180),VLOOKUP($F180,$K$2:AI$8,U$1,"Falsch"),"")</f>
        <v/>
      </c>
      <c r="V180" s="16" t="str">
        <f>IF(AND(V$10&gt;=$D180,V$11&lt;=$E180),VLOOKUP($F180,$K$2:AJ$8,V$1,"Falsch"),"")</f>
        <v/>
      </c>
      <c r="W180" s="16" t="str">
        <f>IF(AND(W$10&gt;=$D180,W$11&lt;=$E180),VLOOKUP($F180,$K$2:AK$8,W$1,"Falsch"),"")</f>
        <v/>
      </c>
      <c r="X180" s="16" t="str">
        <f>IF(AND(X$10&gt;=$D180,X$11&lt;=$E180),VLOOKUP($F180,$K$2:AL$8,X$1,"Falsch"),"")</f>
        <v/>
      </c>
      <c r="Y180" s="16" t="str">
        <f>IF(AND(Y$10&gt;=$D180,Y$11&lt;=$E180),VLOOKUP($F180,$K$2:AM$8,Y$1,"Falsch"),"")</f>
        <v/>
      </c>
      <c r="Z180" s="16" t="str">
        <f>IF(AND(Z$10&gt;=$D180,Z$11&lt;=$E180),VLOOKUP($F180,$K$2:AN$8,Z$1,"Falsch"),"")</f>
        <v/>
      </c>
      <c r="AA180" s="16" t="str">
        <f>IF(AND(AA$10&gt;=$D180,AA$11&lt;=$E180),VLOOKUP($F180,$K$2:AO$8,AA$1,"Falsch"),"")</f>
        <v/>
      </c>
      <c r="AB180" s="16" t="str">
        <f>IF(AND(AB$10&gt;=$D180,AB$11&lt;=$E180),VLOOKUP($F180,$K$2:AP$8,AB$1,"Falsch"),"")</f>
        <v/>
      </c>
      <c r="AC180" s="16" t="str">
        <f>IF(AND(AC$10&gt;=$D180,AC$11&lt;=$E180),VLOOKUP($F180,$K$2:AQ$8,AC$1,"Falsch"),"")</f>
        <v/>
      </c>
      <c r="AD180" s="16" t="str">
        <f>IF(AND(AD$10&gt;=$D180,AD$11&lt;=$E180),VLOOKUP($F180,$K$2:AR$8,AD$1,"Falsch"),"")</f>
        <v/>
      </c>
    </row>
    <row r="181" spans="9:30" x14ac:dyDescent="0.25">
      <c r="I181" s="21">
        <f t="shared" si="35"/>
        <v>0</v>
      </c>
      <c r="K181" s="25">
        <f t="shared" si="34"/>
        <v>0</v>
      </c>
      <c r="L181" s="16" t="str">
        <f>IF(AND(L$10&gt;=$D181,L$11&lt;=$E181),VLOOKUP($F181,$K$2:Z$8,L$1,"Falsch"),"")</f>
        <v/>
      </c>
      <c r="M181" s="16" t="str">
        <f>IF(AND(M$10&gt;=$D181,M$11&lt;=$E181),VLOOKUP($F181,$K$2:AA$8,M$1,"Falsch"),"")</f>
        <v/>
      </c>
      <c r="N181" s="16" t="str">
        <f>IF(AND(N$10&gt;=$D181,N$11&lt;=$E181),VLOOKUP($F181,$K$2:AB$8,N$1,"Falsch"),"")</f>
        <v/>
      </c>
      <c r="O181" s="16" t="str">
        <f>IF(AND(O$10&gt;=$D181,O$11&lt;=$E181),VLOOKUP($F181,$K$2:AC$8,O$1,"Falsch"),"")</f>
        <v/>
      </c>
      <c r="P181" s="16" t="str">
        <f>IF(AND(P$10&gt;=$D181,P$11&lt;=$E181),VLOOKUP($F181,$K$2:AD$8,P$1,"Falsch"),"")</f>
        <v/>
      </c>
      <c r="Q181" s="16" t="str">
        <f>IF(AND(Q$10&gt;=$D181,Q$11&lt;=$E181),VLOOKUP($F181,$K$2:AE$8,Q$1,"Falsch"),"")</f>
        <v/>
      </c>
      <c r="R181" s="16" t="str">
        <f>IF(AND(R$10&gt;=$D181,R$11&lt;=$E181),VLOOKUP($F181,$K$2:AF$8,R$1,"Falsch"),"")</f>
        <v/>
      </c>
      <c r="S181" s="16" t="str">
        <f>IF(AND(S$10&gt;=$D181,S$11&lt;=$E181),VLOOKUP($F181,$K$2:AG$8,S$1,"Falsch"),"")</f>
        <v/>
      </c>
      <c r="T181" s="16" t="str">
        <f>IF(AND(T$10&gt;=$D181,T$11&lt;=$E181),VLOOKUP($F181,$K$2:AH$8,T$1,"Falsch"),"")</f>
        <v/>
      </c>
      <c r="U181" s="16" t="str">
        <f>IF(AND(U$10&gt;=$D181,U$11&lt;=$E181),VLOOKUP($F181,$K$2:AI$8,U$1,"Falsch"),"")</f>
        <v/>
      </c>
      <c r="V181" s="16" t="str">
        <f>IF(AND(V$10&gt;=$D181,V$11&lt;=$E181),VLOOKUP($F181,$K$2:AJ$8,V$1,"Falsch"),"")</f>
        <v/>
      </c>
      <c r="W181" s="16" t="str">
        <f>IF(AND(W$10&gt;=$D181,W$11&lt;=$E181),VLOOKUP($F181,$K$2:AK$8,W$1,"Falsch"),"")</f>
        <v/>
      </c>
      <c r="X181" s="16" t="str">
        <f>IF(AND(X$10&gt;=$D181,X$11&lt;=$E181),VLOOKUP($F181,$K$2:AL$8,X$1,"Falsch"),"")</f>
        <v/>
      </c>
      <c r="Y181" s="16" t="str">
        <f>IF(AND(Y$10&gt;=$D181,Y$11&lt;=$E181),VLOOKUP($F181,$K$2:AM$8,Y$1,"Falsch"),"")</f>
        <v/>
      </c>
      <c r="Z181" s="16" t="str">
        <f>IF(AND(Z$10&gt;=$D181,Z$11&lt;=$E181),VLOOKUP($F181,$K$2:AN$8,Z$1,"Falsch"),"")</f>
        <v/>
      </c>
      <c r="AA181" s="16" t="str">
        <f>IF(AND(AA$10&gt;=$D181,AA$11&lt;=$E181),VLOOKUP($F181,$K$2:AO$8,AA$1,"Falsch"),"")</f>
        <v/>
      </c>
      <c r="AB181" s="16" t="str">
        <f>IF(AND(AB$10&gt;=$D181,AB$11&lt;=$E181),VLOOKUP($F181,$K$2:AP$8,AB$1,"Falsch"),"")</f>
        <v/>
      </c>
      <c r="AC181" s="16" t="str">
        <f>IF(AND(AC$10&gt;=$D181,AC$11&lt;=$E181),VLOOKUP($F181,$K$2:AQ$8,AC$1,"Falsch"),"")</f>
        <v/>
      </c>
      <c r="AD181" s="16" t="str">
        <f>IF(AND(AD$10&gt;=$D181,AD$11&lt;=$E181),VLOOKUP($F181,$K$2:AR$8,AD$1,"Falsch"),"")</f>
        <v/>
      </c>
    </row>
    <row r="182" spans="9:30" x14ac:dyDescent="0.25">
      <c r="I182" s="21">
        <f t="shared" si="35"/>
        <v>0</v>
      </c>
      <c r="K182" s="25">
        <f t="shared" si="34"/>
        <v>0</v>
      </c>
      <c r="L182" s="16" t="str">
        <f>IF(AND(L$10&gt;=$D182,L$11&lt;=$E182),VLOOKUP($F182,$K$2:Z$8,L$1,"Falsch"),"")</f>
        <v/>
      </c>
      <c r="M182" s="16" t="str">
        <f>IF(AND(M$10&gt;=$D182,M$11&lt;=$E182),VLOOKUP($F182,$K$2:AA$8,M$1,"Falsch"),"")</f>
        <v/>
      </c>
      <c r="N182" s="16" t="str">
        <f>IF(AND(N$10&gt;=$D182,N$11&lt;=$E182),VLOOKUP($F182,$K$2:AB$8,N$1,"Falsch"),"")</f>
        <v/>
      </c>
      <c r="O182" s="16" t="str">
        <f>IF(AND(O$10&gt;=$D182,O$11&lt;=$E182),VLOOKUP($F182,$K$2:AC$8,O$1,"Falsch"),"")</f>
        <v/>
      </c>
      <c r="P182" s="16" t="str">
        <f>IF(AND(P$10&gt;=$D182,P$11&lt;=$E182),VLOOKUP($F182,$K$2:AD$8,P$1,"Falsch"),"")</f>
        <v/>
      </c>
      <c r="Q182" s="16" t="str">
        <f>IF(AND(Q$10&gt;=$D182,Q$11&lt;=$E182),VLOOKUP($F182,$K$2:AE$8,Q$1,"Falsch"),"")</f>
        <v/>
      </c>
      <c r="R182" s="16" t="str">
        <f>IF(AND(R$10&gt;=$D182,R$11&lt;=$E182),VLOOKUP($F182,$K$2:AF$8,R$1,"Falsch"),"")</f>
        <v/>
      </c>
      <c r="S182" s="16" t="str">
        <f>IF(AND(S$10&gt;=$D182,S$11&lt;=$E182),VLOOKUP($F182,$K$2:AG$8,S$1,"Falsch"),"")</f>
        <v/>
      </c>
      <c r="T182" s="16" t="str">
        <f>IF(AND(T$10&gt;=$D182,T$11&lt;=$E182),VLOOKUP($F182,$K$2:AH$8,T$1,"Falsch"),"")</f>
        <v/>
      </c>
      <c r="U182" s="16" t="str">
        <f>IF(AND(U$10&gt;=$D182,U$11&lt;=$E182),VLOOKUP($F182,$K$2:AI$8,U$1,"Falsch"),"")</f>
        <v/>
      </c>
      <c r="V182" s="16" t="str">
        <f>IF(AND(V$10&gt;=$D182,V$11&lt;=$E182),VLOOKUP($F182,$K$2:AJ$8,V$1,"Falsch"),"")</f>
        <v/>
      </c>
      <c r="W182" s="16" t="str">
        <f>IF(AND(W$10&gt;=$D182,W$11&lt;=$E182),VLOOKUP($F182,$K$2:AK$8,W$1,"Falsch"),"")</f>
        <v/>
      </c>
      <c r="X182" s="16" t="str">
        <f>IF(AND(X$10&gt;=$D182,X$11&lt;=$E182),VLOOKUP($F182,$K$2:AL$8,X$1,"Falsch"),"")</f>
        <v/>
      </c>
      <c r="Y182" s="16" t="str">
        <f>IF(AND(Y$10&gt;=$D182,Y$11&lt;=$E182),VLOOKUP($F182,$K$2:AM$8,Y$1,"Falsch"),"")</f>
        <v/>
      </c>
      <c r="Z182" s="16" t="str">
        <f>IF(AND(Z$10&gt;=$D182,Z$11&lt;=$E182),VLOOKUP($F182,$K$2:AN$8,Z$1,"Falsch"),"")</f>
        <v/>
      </c>
      <c r="AA182" s="16" t="str">
        <f>IF(AND(AA$10&gt;=$D182,AA$11&lt;=$E182),VLOOKUP($F182,$K$2:AO$8,AA$1,"Falsch"),"")</f>
        <v/>
      </c>
      <c r="AB182" s="16" t="str">
        <f>IF(AND(AB$10&gt;=$D182,AB$11&lt;=$E182),VLOOKUP($F182,$K$2:AP$8,AB$1,"Falsch"),"")</f>
        <v/>
      </c>
      <c r="AC182" s="16" t="str">
        <f>IF(AND(AC$10&gt;=$D182,AC$11&lt;=$E182),VLOOKUP($F182,$K$2:AQ$8,AC$1,"Falsch"),"")</f>
        <v/>
      </c>
      <c r="AD182" s="16" t="str">
        <f>IF(AND(AD$10&gt;=$D182,AD$11&lt;=$E182),VLOOKUP($F182,$K$2:AR$8,AD$1,"Falsch"),"")</f>
        <v/>
      </c>
    </row>
    <row r="183" spans="9:30" x14ac:dyDescent="0.25">
      <c r="I183" s="21">
        <f t="shared" si="35"/>
        <v>0</v>
      </c>
      <c r="K183" s="25">
        <f t="shared" si="34"/>
        <v>0</v>
      </c>
      <c r="L183" s="16" t="str">
        <f>IF(AND(L$10&gt;=$D183,L$11&lt;=$E183),VLOOKUP($F183,$K$2:Z$8,L$1,"Falsch"),"")</f>
        <v/>
      </c>
      <c r="M183" s="16" t="str">
        <f>IF(AND(M$10&gt;=$D183,M$11&lt;=$E183),VLOOKUP($F183,$K$2:AA$8,M$1,"Falsch"),"")</f>
        <v/>
      </c>
      <c r="N183" s="16" t="str">
        <f>IF(AND(N$10&gt;=$D183,N$11&lt;=$E183),VLOOKUP($F183,$K$2:AB$8,N$1,"Falsch"),"")</f>
        <v/>
      </c>
      <c r="O183" s="16" t="str">
        <f>IF(AND(O$10&gt;=$D183,O$11&lt;=$E183),VLOOKUP($F183,$K$2:AC$8,O$1,"Falsch"),"")</f>
        <v/>
      </c>
      <c r="P183" s="16" t="str">
        <f>IF(AND(P$10&gt;=$D183,P$11&lt;=$E183),VLOOKUP($F183,$K$2:AD$8,P$1,"Falsch"),"")</f>
        <v/>
      </c>
      <c r="Q183" s="16" t="str">
        <f>IF(AND(Q$10&gt;=$D183,Q$11&lt;=$E183),VLOOKUP($F183,$K$2:AE$8,Q$1,"Falsch"),"")</f>
        <v/>
      </c>
      <c r="R183" s="16" t="str">
        <f>IF(AND(R$10&gt;=$D183,R$11&lt;=$E183),VLOOKUP($F183,$K$2:AF$8,R$1,"Falsch"),"")</f>
        <v/>
      </c>
      <c r="S183" s="16" t="str">
        <f>IF(AND(S$10&gt;=$D183,S$11&lt;=$E183),VLOOKUP($F183,$K$2:AG$8,S$1,"Falsch"),"")</f>
        <v/>
      </c>
      <c r="T183" s="16" t="str">
        <f>IF(AND(T$10&gt;=$D183,T$11&lt;=$E183),VLOOKUP($F183,$K$2:AH$8,T$1,"Falsch"),"")</f>
        <v/>
      </c>
      <c r="U183" s="16" t="str">
        <f>IF(AND(U$10&gt;=$D183,U$11&lt;=$E183),VLOOKUP($F183,$K$2:AI$8,U$1,"Falsch"),"")</f>
        <v/>
      </c>
      <c r="V183" s="16" t="str">
        <f>IF(AND(V$10&gt;=$D183,V$11&lt;=$E183),VLOOKUP($F183,$K$2:AJ$8,V$1,"Falsch"),"")</f>
        <v/>
      </c>
      <c r="W183" s="16" t="str">
        <f>IF(AND(W$10&gt;=$D183,W$11&lt;=$E183),VLOOKUP($F183,$K$2:AK$8,W$1,"Falsch"),"")</f>
        <v/>
      </c>
      <c r="X183" s="16" t="str">
        <f>IF(AND(X$10&gt;=$D183,X$11&lt;=$E183),VLOOKUP($F183,$K$2:AL$8,X$1,"Falsch"),"")</f>
        <v/>
      </c>
      <c r="Y183" s="16" t="str">
        <f>IF(AND(Y$10&gt;=$D183,Y$11&lt;=$E183),VLOOKUP($F183,$K$2:AM$8,Y$1,"Falsch"),"")</f>
        <v/>
      </c>
      <c r="Z183" s="16" t="str">
        <f>IF(AND(Z$10&gt;=$D183,Z$11&lt;=$E183),VLOOKUP($F183,$K$2:AN$8,Z$1,"Falsch"),"")</f>
        <v/>
      </c>
      <c r="AA183" s="16" t="str">
        <f>IF(AND(AA$10&gt;=$D183,AA$11&lt;=$E183),VLOOKUP($F183,$K$2:AO$8,AA$1,"Falsch"),"")</f>
        <v/>
      </c>
      <c r="AB183" s="16" t="str">
        <f>IF(AND(AB$10&gt;=$D183,AB$11&lt;=$E183),VLOOKUP($F183,$K$2:AP$8,AB$1,"Falsch"),"")</f>
        <v/>
      </c>
      <c r="AC183" s="16" t="str">
        <f>IF(AND(AC$10&gt;=$D183,AC$11&lt;=$E183),VLOOKUP($F183,$K$2:AQ$8,AC$1,"Falsch"),"")</f>
        <v/>
      </c>
      <c r="AD183" s="16" t="str">
        <f>IF(AND(AD$10&gt;=$D183,AD$11&lt;=$E183),VLOOKUP($F183,$K$2:AR$8,AD$1,"Falsch"),"")</f>
        <v/>
      </c>
    </row>
    <row r="184" spans="9:30" x14ac:dyDescent="0.25">
      <c r="I184" s="21">
        <f t="shared" si="35"/>
        <v>0</v>
      </c>
      <c r="K184" s="25">
        <f t="shared" si="34"/>
        <v>0</v>
      </c>
      <c r="L184" s="16" t="str">
        <f>IF(AND(L$10&gt;=$D184,L$11&lt;=$E184),VLOOKUP($F184,$K$2:Z$8,L$1,"Falsch"),"")</f>
        <v/>
      </c>
      <c r="M184" s="16" t="str">
        <f>IF(AND(M$10&gt;=$D184,M$11&lt;=$E184),VLOOKUP($F184,$K$2:AA$8,M$1,"Falsch"),"")</f>
        <v/>
      </c>
      <c r="N184" s="16" t="str">
        <f>IF(AND(N$10&gt;=$D184,N$11&lt;=$E184),VLOOKUP($F184,$K$2:AB$8,N$1,"Falsch"),"")</f>
        <v/>
      </c>
      <c r="O184" s="16" t="str">
        <f>IF(AND(O$10&gt;=$D184,O$11&lt;=$E184),VLOOKUP($F184,$K$2:AC$8,O$1,"Falsch"),"")</f>
        <v/>
      </c>
      <c r="P184" s="16" t="str">
        <f>IF(AND(P$10&gt;=$D184,P$11&lt;=$E184),VLOOKUP($F184,$K$2:AD$8,P$1,"Falsch"),"")</f>
        <v/>
      </c>
      <c r="Q184" s="16" t="str">
        <f>IF(AND(Q$10&gt;=$D184,Q$11&lt;=$E184),VLOOKUP($F184,$K$2:AE$8,Q$1,"Falsch"),"")</f>
        <v/>
      </c>
      <c r="R184" s="16" t="str">
        <f>IF(AND(R$10&gt;=$D184,R$11&lt;=$E184),VLOOKUP($F184,$K$2:AF$8,R$1,"Falsch"),"")</f>
        <v/>
      </c>
      <c r="S184" s="16" t="str">
        <f>IF(AND(S$10&gt;=$D184,S$11&lt;=$E184),VLOOKUP($F184,$K$2:AG$8,S$1,"Falsch"),"")</f>
        <v/>
      </c>
      <c r="T184" s="16" t="str">
        <f>IF(AND(T$10&gt;=$D184,T$11&lt;=$E184),VLOOKUP($F184,$K$2:AH$8,T$1,"Falsch"),"")</f>
        <v/>
      </c>
      <c r="U184" s="16" t="str">
        <f>IF(AND(U$10&gt;=$D184,U$11&lt;=$E184),VLOOKUP($F184,$K$2:AI$8,U$1,"Falsch"),"")</f>
        <v/>
      </c>
      <c r="V184" s="16" t="str">
        <f>IF(AND(V$10&gt;=$D184,V$11&lt;=$E184),VLOOKUP($F184,$K$2:AJ$8,V$1,"Falsch"),"")</f>
        <v/>
      </c>
      <c r="W184" s="16" t="str">
        <f>IF(AND(W$10&gt;=$D184,W$11&lt;=$E184),VLOOKUP($F184,$K$2:AK$8,W$1,"Falsch"),"")</f>
        <v/>
      </c>
      <c r="X184" s="16" t="str">
        <f>IF(AND(X$10&gt;=$D184,X$11&lt;=$E184),VLOOKUP($F184,$K$2:AL$8,X$1,"Falsch"),"")</f>
        <v/>
      </c>
      <c r="Y184" s="16" t="str">
        <f>IF(AND(Y$10&gt;=$D184,Y$11&lt;=$E184),VLOOKUP($F184,$K$2:AM$8,Y$1,"Falsch"),"")</f>
        <v/>
      </c>
      <c r="Z184" s="16" t="str">
        <f>IF(AND(Z$10&gt;=$D184,Z$11&lt;=$E184),VLOOKUP($F184,$K$2:AN$8,Z$1,"Falsch"),"")</f>
        <v/>
      </c>
      <c r="AA184" s="16" t="str">
        <f>IF(AND(AA$10&gt;=$D184,AA$11&lt;=$E184),VLOOKUP($F184,$K$2:AO$8,AA$1,"Falsch"),"")</f>
        <v/>
      </c>
      <c r="AB184" s="16" t="str">
        <f>IF(AND(AB$10&gt;=$D184,AB$11&lt;=$E184),VLOOKUP($F184,$K$2:AP$8,AB$1,"Falsch"),"")</f>
        <v/>
      </c>
      <c r="AC184" s="16" t="str">
        <f>IF(AND(AC$10&gt;=$D184,AC$11&lt;=$E184),VLOOKUP($F184,$K$2:AQ$8,AC$1,"Falsch"),"")</f>
        <v/>
      </c>
      <c r="AD184" s="16" t="str">
        <f>IF(AND(AD$10&gt;=$D184,AD$11&lt;=$E184),VLOOKUP($F184,$K$2:AR$8,AD$1,"Falsch"),"")</f>
        <v/>
      </c>
    </row>
    <row r="185" spans="9:30" x14ac:dyDescent="0.25">
      <c r="I185" s="21">
        <f t="shared" si="35"/>
        <v>0</v>
      </c>
      <c r="K185" s="25">
        <f t="shared" si="34"/>
        <v>0</v>
      </c>
      <c r="L185" s="16" t="str">
        <f>IF(AND(L$10&gt;=$D185,L$11&lt;=$E185),VLOOKUP($F185,$K$2:Z$8,L$1,"Falsch"),"")</f>
        <v/>
      </c>
      <c r="M185" s="16" t="str">
        <f>IF(AND(M$10&gt;=$D185,M$11&lt;=$E185),VLOOKUP($F185,$K$2:AA$8,M$1,"Falsch"),"")</f>
        <v/>
      </c>
      <c r="N185" s="16" t="str">
        <f>IF(AND(N$10&gt;=$D185,N$11&lt;=$E185),VLOOKUP($F185,$K$2:AB$8,N$1,"Falsch"),"")</f>
        <v/>
      </c>
      <c r="O185" s="16" t="str">
        <f>IF(AND(O$10&gt;=$D185,O$11&lt;=$E185),VLOOKUP($F185,$K$2:AC$8,O$1,"Falsch"),"")</f>
        <v/>
      </c>
      <c r="P185" s="16" t="str">
        <f>IF(AND(P$10&gt;=$D185,P$11&lt;=$E185),VLOOKUP($F185,$K$2:AD$8,P$1,"Falsch"),"")</f>
        <v/>
      </c>
      <c r="Q185" s="16" t="str">
        <f>IF(AND(Q$10&gt;=$D185,Q$11&lt;=$E185),VLOOKUP($F185,$K$2:AE$8,Q$1,"Falsch"),"")</f>
        <v/>
      </c>
      <c r="R185" s="16" t="str">
        <f>IF(AND(R$10&gt;=$D185,R$11&lt;=$E185),VLOOKUP($F185,$K$2:AF$8,R$1,"Falsch"),"")</f>
        <v/>
      </c>
      <c r="S185" s="16" t="str">
        <f>IF(AND(S$10&gt;=$D185,S$11&lt;=$E185),VLOOKUP($F185,$K$2:AG$8,S$1,"Falsch"),"")</f>
        <v/>
      </c>
      <c r="T185" s="16" t="str">
        <f>IF(AND(T$10&gt;=$D185,T$11&lt;=$E185),VLOOKUP($F185,$K$2:AH$8,T$1,"Falsch"),"")</f>
        <v/>
      </c>
      <c r="U185" s="16" t="str">
        <f>IF(AND(U$10&gt;=$D185,U$11&lt;=$E185),VLOOKUP($F185,$K$2:AI$8,U$1,"Falsch"),"")</f>
        <v/>
      </c>
      <c r="V185" s="16" t="str">
        <f>IF(AND(V$10&gt;=$D185,V$11&lt;=$E185),VLOOKUP($F185,$K$2:AJ$8,V$1,"Falsch"),"")</f>
        <v/>
      </c>
      <c r="W185" s="16" t="str">
        <f>IF(AND(W$10&gt;=$D185,W$11&lt;=$E185),VLOOKUP($F185,$K$2:AK$8,W$1,"Falsch"),"")</f>
        <v/>
      </c>
      <c r="X185" s="16" t="str">
        <f>IF(AND(X$10&gt;=$D185,X$11&lt;=$E185),VLOOKUP($F185,$K$2:AL$8,X$1,"Falsch"),"")</f>
        <v/>
      </c>
      <c r="Y185" s="16" t="str">
        <f>IF(AND(Y$10&gt;=$D185,Y$11&lt;=$E185),VLOOKUP($F185,$K$2:AM$8,Y$1,"Falsch"),"")</f>
        <v/>
      </c>
      <c r="Z185" s="16" t="str">
        <f>IF(AND(Z$10&gt;=$D185,Z$11&lt;=$E185),VLOOKUP($F185,$K$2:AN$8,Z$1,"Falsch"),"")</f>
        <v/>
      </c>
      <c r="AA185" s="16" t="str">
        <f>IF(AND(AA$10&gt;=$D185,AA$11&lt;=$E185),VLOOKUP($F185,$K$2:AO$8,AA$1,"Falsch"),"")</f>
        <v/>
      </c>
      <c r="AB185" s="16" t="str">
        <f>IF(AND(AB$10&gt;=$D185,AB$11&lt;=$E185),VLOOKUP($F185,$K$2:AP$8,AB$1,"Falsch"),"")</f>
        <v/>
      </c>
      <c r="AC185" s="16" t="str">
        <f>IF(AND(AC$10&gt;=$D185,AC$11&lt;=$E185),VLOOKUP($F185,$K$2:AQ$8,AC$1,"Falsch"),"")</f>
        <v/>
      </c>
      <c r="AD185" s="16" t="str">
        <f>IF(AND(AD$10&gt;=$D185,AD$11&lt;=$E185),VLOOKUP($F185,$K$2:AR$8,AD$1,"Falsch"),"")</f>
        <v/>
      </c>
    </row>
    <row r="186" spans="9:30" x14ac:dyDescent="0.25">
      <c r="I186" s="21">
        <f t="shared" si="35"/>
        <v>0</v>
      </c>
      <c r="K186" s="25">
        <f t="shared" si="34"/>
        <v>0</v>
      </c>
      <c r="L186" s="16" t="str">
        <f>IF(AND(L$10&gt;=$D186,L$11&lt;=$E186),VLOOKUP($F186,$K$2:Z$8,L$1,"Falsch"),"")</f>
        <v/>
      </c>
      <c r="M186" s="16" t="str">
        <f>IF(AND(M$10&gt;=$D186,M$11&lt;=$E186),VLOOKUP($F186,$K$2:AA$8,M$1,"Falsch"),"")</f>
        <v/>
      </c>
      <c r="N186" s="16" t="str">
        <f>IF(AND(N$10&gt;=$D186,N$11&lt;=$E186),VLOOKUP($F186,$K$2:AB$8,N$1,"Falsch"),"")</f>
        <v/>
      </c>
      <c r="O186" s="16" t="str">
        <f>IF(AND(O$10&gt;=$D186,O$11&lt;=$E186),VLOOKUP($F186,$K$2:AC$8,O$1,"Falsch"),"")</f>
        <v/>
      </c>
      <c r="P186" s="16" t="str">
        <f>IF(AND(P$10&gt;=$D186,P$11&lt;=$E186),VLOOKUP($F186,$K$2:AD$8,P$1,"Falsch"),"")</f>
        <v/>
      </c>
      <c r="Q186" s="16" t="str">
        <f>IF(AND(Q$10&gt;=$D186,Q$11&lt;=$E186),VLOOKUP($F186,$K$2:AE$8,Q$1,"Falsch"),"")</f>
        <v/>
      </c>
      <c r="R186" s="16" t="str">
        <f>IF(AND(R$10&gt;=$D186,R$11&lt;=$E186),VLOOKUP($F186,$K$2:AF$8,R$1,"Falsch"),"")</f>
        <v/>
      </c>
      <c r="S186" s="16" t="str">
        <f>IF(AND(S$10&gt;=$D186,S$11&lt;=$E186),VLOOKUP($F186,$K$2:AG$8,S$1,"Falsch"),"")</f>
        <v/>
      </c>
      <c r="T186" s="16" t="str">
        <f>IF(AND(T$10&gt;=$D186,T$11&lt;=$E186),VLOOKUP($F186,$K$2:AH$8,T$1,"Falsch"),"")</f>
        <v/>
      </c>
      <c r="U186" s="16" t="str">
        <f>IF(AND(U$10&gt;=$D186,U$11&lt;=$E186),VLOOKUP($F186,$K$2:AI$8,U$1,"Falsch"),"")</f>
        <v/>
      </c>
      <c r="V186" s="16" t="str">
        <f>IF(AND(V$10&gt;=$D186,V$11&lt;=$E186),VLOOKUP($F186,$K$2:AJ$8,V$1,"Falsch"),"")</f>
        <v/>
      </c>
      <c r="W186" s="16" t="str">
        <f>IF(AND(W$10&gt;=$D186,W$11&lt;=$E186),VLOOKUP($F186,$K$2:AK$8,W$1,"Falsch"),"")</f>
        <v/>
      </c>
      <c r="X186" s="16" t="str">
        <f>IF(AND(X$10&gt;=$D186,X$11&lt;=$E186),VLOOKUP($F186,$K$2:AL$8,X$1,"Falsch"),"")</f>
        <v/>
      </c>
      <c r="Y186" s="16" t="str">
        <f>IF(AND(Y$10&gt;=$D186,Y$11&lt;=$E186),VLOOKUP($F186,$K$2:AM$8,Y$1,"Falsch"),"")</f>
        <v/>
      </c>
      <c r="Z186" s="16" t="str">
        <f>IF(AND(Z$10&gt;=$D186,Z$11&lt;=$E186),VLOOKUP($F186,$K$2:AN$8,Z$1,"Falsch"),"")</f>
        <v/>
      </c>
      <c r="AA186" s="16" t="str">
        <f>IF(AND(AA$10&gt;=$D186,AA$11&lt;=$E186),VLOOKUP($F186,$K$2:AO$8,AA$1,"Falsch"),"")</f>
        <v/>
      </c>
      <c r="AB186" s="16" t="str">
        <f>IF(AND(AB$10&gt;=$D186,AB$11&lt;=$E186),VLOOKUP($F186,$K$2:AP$8,AB$1,"Falsch"),"")</f>
        <v/>
      </c>
      <c r="AC186" s="16" t="str">
        <f>IF(AND(AC$10&gt;=$D186,AC$11&lt;=$E186),VLOOKUP($F186,$K$2:AQ$8,AC$1,"Falsch"),"")</f>
        <v/>
      </c>
      <c r="AD186" s="16" t="str">
        <f>IF(AND(AD$10&gt;=$D186,AD$11&lt;=$E186),VLOOKUP($F186,$K$2:AR$8,AD$1,"Falsch"),"")</f>
        <v/>
      </c>
    </row>
    <row r="187" spans="9:30" x14ac:dyDescent="0.25">
      <c r="I187" s="21">
        <f t="shared" si="35"/>
        <v>0</v>
      </c>
      <c r="K187" s="25">
        <f t="shared" si="34"/>
        <v>0</v>
      </c>
      <c r="L187" s="16" t="str">
        <f>IF(AND(L$10&gt;=$D187,L$11&lt;=$E187),VLOOKUP($F187,$K$2:Z$8,L$1,"Falsch"),"")</f>
        <v/>
      </c>
      <c r="M187" s="16" t="str">
        <f>IF(AND(M$10&gt;=$D187,M$11&lt;=$E187),VLOOKUP($F187,$K$2:AA$8,M$1,"Falsch"),"")</f>
        <v/>
      </c>
      <c r="N187" s="16" t="str">
        <f>IF(AND(N$10&gt;=$D187,N$11&lt;=$E187),VLOOKUP($F187,$K$2:AB$8,N$1,"Falsch"),"")</f>
        <v/>
      </c>
      <c r="O187" s="16" t="str">
        <f>IF(AND(O$10&gt;=$D187,O$11&lt;=$E187),VLOOKUP($F187,$K$2:AC$8,O$1,"Falsch"),"")</f>
        <v/>
      </c>
      <c r="P187" s="16" t="str">
        <f>IF(AND(P$10&gt;=$D187,P$11&lt;=$E187),VLOOKUP($F187,$K$2:AD$8,P$1,"Falsch"),"")</f>
        <v/>
      </c>
      <c r="Q187" s="16" t="str">
        <f>IF(AND(Q$10&gt;=$D187,Q$11&lt;=$E187),VLOOKUP($F187,$K$2:AE$8,Q$1,"Falsch"),"")</f>
        <v/>
      </c>
      <c r="R187" s="16" t="str">
        <f>IF(AND(R$10&gt;=$D187,R$11&lt;=$E187),VLOOKUP($F187,$K$2:AF$8,R$1,"Falsch"),"")</f>
        <v/>
      </c>
      <c r="S187" s="16" t="str">
        <f>IF(AND(S$10&gt;=$D187,S$11&lt;=$E187),VLOOKUP($F187,$K$2:AG$8,S$1,"Falsch"),"")</f>
        <v/>
      </c>
      <c r="T187" s="16" t="str">
        <f>IF(AND(T$10&gt;=$D187,T$11&lt;=$E187),VLOOKUP($F187,$K$2:AH$8,T$1,"Falsch"),"")</f>
        <v/>
      </c>
      <c r="U187" s="16" t="str">
        <f>IF(AND(U$10&gt;=$D187,U$11&lt;=$E187),VLOOKUP($F187,$K$2:AI$8,U$1,"Falsch"),"")</f>
        <v/>
      </c>
      <c r="V187" s="16" t="str">
        <f>IF(AND(V$10&gt;=$D187,V$11&lt;=$E187),VLOOKUP($F187,$K$2:AJ$8,V$1,"Falsch"),"")</f>
        <v/>
      </c>
      <c r="W187" s="16" t="str">
        <f>IF(AND(W$10&gt;=$D187,W$11&lt;=$E187),VLOOKUP($F187,$K$2:AK$8,W$1,"Falsch"),"")</f>
        <v/>
      </c>
      <c r="X187" s="16" t="str">
        <f>IF(AND(X$10&gt;=$D187,X$11&lt;=$E187),VLOOKUP($F187,$K$2:AL$8,X$1,"Falsch"),"")</f>
        <v/>
      </c>
      <c r="Y187" s="16" t="str">
        <f>IF(AND(Y$10&gt;=$D187,Y$11&lt;=$E187),VLOOKUP($F187,$K$2:AM$8,Y$1,"Falsch"),"")</f>
        <v/>
      </c>
      <c r="Z187" s="16" t="str">
        <f>IF(AND(Z$10&gt;=$D187,Z$11&lt;=$E187),VLOOKUP($F187,$K$2:AN$8,Z$1,"Falsch"),"")</f>
        <v/>
      </c>
      <c r="AA187" s="16" t="str">
        <f>IF(AND(AA$10&gt;=$D187,AA$11&lt;=$E187),VLOOKUP($F187,$K$2:AO$8,AA$1,"Falsch"),"")</f>
        <v/>
      </c>
      <c r="AB187" s="16" t="str">
        <f>IF(AND(AB$10&gt;=$D187,AB$11&lt;=$E187),VLOOKUP($F187,$K$2:AP$8,AB$1,"Falsch"),"")</f>
        <v/>
      </c>
      <c r="AC187" s="16" t="str">
        <f>IF(AND(AC$10&gt;=$D187,AC$11&lt;=$E187),VLOOKUP($F187,$K$2:AQ$8,AC$1,"Falsch"),"")</f>
        <v/>
      </c>
      <c r="AD187" s="16" t="str">
        <f>IF(AND(AD$10&gt;=$D187,AD$11&lt;=$E187),VLOOKUP($F187,$K$2:AR$8,AD$1,"Falsch"),"")</f>
        <v/>
      </c>
    </row>
    <row r="188" spans="9:30" x14ac:dyDescent="0.25">
      <c r="I188" s="21">
        <f t="shared" si="35"/>
        <v>0</v>
      </c>
      <c r="K188" s="25">
        <f t="shared" si="34"/>
        <v>0</v>
      </c>
      <c r="L188" s="16" t="str">
        <f>IF(AND(L$10&gt;=$D188,L$11&lt;=$E188),VLOOKUP($F188,$K$2:Z$8,L$1,"Falsch"),"")</f>
        <v/>
      </c>
      <c r="M188" s="16" t="str">
        <f>IF(AND(M$10&gt;=$D188,M$11&lt;=$E188),VLOOKUP($F188,$K$2:AA$8,M$1,"Falsch"),"")</f>
        <v/>
      </c>
      <c r="N188" s="16" t="str">
        <f>IF(AND(N$10&gt;=$D188,N$11&lt;=$E188),VLOOKUP($F188,$K$2:AB$8,N$1,"Falsch"),"")</f>
        <v/>
      </c>
      <c r="O188" s="16" t="str">
        <f>IF(AND(O$10&gt;=$D188,O$11&lt;=$E188),VLOOKUP($F188,$K$2:AC$8,O$1,"Falsch"),"")</f>
        <v/>
      </c>
      <c r="P188" s="16" t="str">
        <f>IF(AND(P$10&gt;=$D188,P$11&lt;=$E188),VLOOKUP($F188,$K$2:AD$8,P$1,"Falsch"),"")</f>
        <v/>
      </c>
      <c r="Q188" s="16" t="str">
        <f>IF(AND(Q$10&gt;=$D188,Q$11&lt;=$E188),VLOOKUP($F188,$K$2:AE$8,Q$1,"Falsch"),"")</f>
        <v/>
      </c>
      <c r="R188" s="16" t="str">
        <f>IF(AND(R$10&gt;=$D188,R$11&lt;=$E188),VLOOKUP($F188,$K$2:AF$8,R$1,"Falsch"),"")</f>
        <v/>
      </c>
      <c r="S188" s="16" t="str">
        <f>IF(AND(S$10&gt;=$D188,S$11&lt;=$E188),VLOOKUP($F188,$K$2:AG$8,S$1,"Falsch"),"")</f>
        <v/>
      </c>
      <c r="T188" s="16" t="str">
        <f>IF(AND(T$10&gt;=$D188,T$11&lt;=$E188),VLOOKUP($F188,$K$2:AH$8,T$1,"Falsch"),"")</f>
        <v/>
      </c>
      <c r="U188" s="16" t="str">
        <f>IF(AND(U$10&gt;=$D188,U$11&lt;=$E188),VLOOKUP($F188,$K$2:AI$8,U$1,"Falsch"),"")</f>
        <v/>
      </c>
      <c r="V188" s="16" t="str">
        <f>IF(AND(V$10&gt;=$D188,V$11&lt;=$E188),VLOOKUP($F188,$K$2:AJ$8,V$1,"Falsch"),"")</f>
        <v/>
      </c>
      <c r="W188" s="16" t="str">
        <f>IF(AND(W$10&gt;=$D188,W$11&lt;=$E188),VLOOKUP($F188,$K$2:AK$8,W$1,"Falsch"),"")</f>
        <v/>
      </c>
      <c r="X188" s="16" t="str">
        <f>IF(AND(X$10&gt;=$D188,X$11&lt;=$E188),VLOOKUP($F188,$K$2:AL$8,X$1,"Falsch"),"")</f>
        <v/>
      </c>
      <c r="Y188" s="16" t="str">
        <f>IF(AND(Y$10&gt;=$D188,Y$11&lt;=$E188),VLOOKUP($F188,$K$2:AM$8,Y$1,"Falsch"),"")</f>
        <v/>
      </c>
      <c r="Z188" s="16" t="str">
        <f>IF(AND(Z$10&gt;=$D188,Z$11&lt;=$E188),VLOOKUP($F188,$K$2:AN$8,Z$1,"Falsch"),"")</f>
        <v/>
      </c>
      <c r="AA188" s="16" t="str">
        <f>IF(AND(AA$10&gt;=$D188,AA$11&lt;=$E188),VLOOKUP($F188,$K$2:AO$8,AA$1,"Falsch"),"")</f>
        <v/>
      </c>
      <c r="AB188" s="16" t="str">
        <f>IF(AND(AB$10&gt;=$D188,AB$11&lt;=$E188),VLOOKUP($F188,$K$2:AP$8,AB$1,"Falsch"),"")</f>
        <v/>
      </c>
      <c r="AC188" s="16" t="str">
        <f>IF(AND(AC$10&gt;=$D188,AC$11&lt;=$E188),VLOOKUP($F188,$K$2:AQ$8,AC$1,"Falsch"),"")</f>
        <v/>
      </c>
      <c r="AD188" s="16" t="str">
        <f>IF(AND(AD$10&gt;=$D188,AD$11&lt;=$E188),VLOOKUP($F188,$K$2:AR$8,AD$1,"Falsch"),"")</f>
        <v/>
      </c>
    </row>
    <row r="189" spans="9:30" x14ac:dyDescent="0.25">
      <c r="I189" s="21">
        <f t="shared" si="35"/>
        <v>0</v>
      </c>
      <c r="K189" s="25">
        <f t="shared" si="34"/>
        <v>0</v>
      </c>
      <c r="L189" s="16" t="str">
        <f>IF(AND(L$10&gt;=$D189,L$11&lt;=$E189),VLOOKUP($F189,$K$2:Z$8,L$1,"Falsch"),"")</f>
        <v/>
      </c>
      <c r="M189" s="16" t="str">
        <f>IF(AND(M$10&gt;=$D189,M$11&lt;=$E189),VLOOKUP($F189,$K$2:AA$8,M$1,"Falsch"),"")</f>
        <v/>
      </c>
      <c r="N189" s="16" t="str">
        <f>IF(AND(N$10&gt;=$D189,N$11&lt;=$E189),VLOOKUP($F189,$K$2:AB$8,N$1,"Falsch"),"")</f>
        <v/>
      </c>
      <c r="O189" s="16" t="str">
        <f>IF(AND(O$10&gt;=$D189,O$11&lt;=$E189),VLOOKUP($F189,$K$2:AC$8,O$1,"Falsch"),"")</f>
        <v/>
      </c>
      <c r="P189" s="16" t="str">
        <f>IF(AND(P$10&gt;=$D189,P$11&lt;=$E189),VLOOKUP($F189,$K$2:AD$8,P$1,"Falsch"),"")</f>
        <v/>
      </c>
      <c r="Q189" s="16" t="str">
        <f>IF(AND(Q$10&gt;=$D189,Q$11&lt;=$E189),VLOOKUP($F189,$K$2:AE$8,Q$1,"Falsch"),"")</f>
        <v/>
      </c>
      <c r="R189" s="16" t="str">
        <f>IF(AND(R$10&gt;=$D189,R$11&lt;=$E189),VLOOKUP($F189,$K$2:AF$8,R$1,"Falsch"),"")</f>
        <v/>
      </c>
      <c r="S189" s="16" t="str">
        <f>IF(AND(S$10&gt;=$D189,S$11&lt;=$E189),VLOOKUP($F189,$K$2:AG$8,S$1,"Falsch"),"")</f>
        <v/>
      </c>
      <c r="T189" s="16" t="str">
        <f>IF(AND(T$10&gt;=$D189,T$11&lt;=$E189),VLOOKUP($F189,$K$2:AH$8,T$1,"Falsch"),"")</f>
        <v/>
      </c>
      <c r="U189" s="16" t="str">
        <f>IF(AND(U$10&gt;=$D189,U$11&lt;=$E189),VLOOKUP($F189,$K$2:AI$8,U$1,"Falsch"),"")</f>
        <v/>
      </c>
      <c r="V189" s="16" t="str">
        <f>IF(AND(V$10&gt;=$D189,V$11&lt;=$E189),VLOOKUP($F189,$K$2:AJ$8,V$1,"Falsch"),"")</f>
        <v/>
      </c>
      <c r="W189" s="16" t="str">
        <f>IF(AND(W$10&gt;=$D189,W$11&lt;=$E189),VLOOKUP($F189,$K$2:AK$8,W$1,"Falsch"),"")</f>
        <v/>
      </c>
      <c r="X189" s="16" t="str">
        <f>IF(AND(X$10&gt;=$D189,X$11&lt;=$E189),VLOOKUP($F189,$K$2:AL$8,X$1,"Falsch"),"")</f>
        <v/>
      </c>
      <c r="Y189" s="16" t="str">
        <f>IF(AND(Y$10&gt;=$D189,Y$11&lt;=$E189),VLOOKUP($F189,$K$2:AM$8,Y$1,"Falsch"),"")</f>
        <v/>
      </c>
      <c r="Z189" s="16" t="str">
        <f>IF(AND(Z$10&gt;=$D189,Z$11&lt;=$E189),VLOOKUP($F189,$K$2:AN$8,Z$1,"Falsch"),"")</f>
        <v/>
      </c>
      <c r="AA189" s="16" t="str">
        <f>IF(AND(AA$10&gt;=$D189,AA$11&lt;=$E189),VLOOKUP($F189,$K$2:AO$8,AA$1,"Falsch"),"")</f>
        <v/>
      </c>
      <c r="AB189" s="16" t="str">
        <f>IF(AND(AB$10&gt;=$D189,AB$11&lt;=$E189),VLOOKUP($F189,$K$2:AP$8,AB$1,"Falsch"),"")</f>
        <v/>
      </c>
      <c r="AC189" s="16" t="str">
        <f>IF(AND(AC$10&gt;=$D189,AC$11&lt;=$E189),VLOOKUP($F189,$K$2:AQ$8,AC$1,"Falsch"),"")</f>
        <v/>
      </c>
      <c r="AD189" s="16" t="str">
        <f>IF(AND(AD$10&gt;=$D189,AD$11&lt;=$E189),VLOOKUP($F189,$K$2:AR$8,AD$1,"Falsch"),"")</f>
        <v/>
      </c>
    </row>
    <row r="190" spans="9:30" x14ac:dyDescent="0.25">
      <c r="I190" s="21">
        <f t="shared" si="35"/>
        <v>0</v>
      </c>
      <c r="K190" s="25">
        <f t="shared" si="34"/>
        <v>0</v>
      </c>
      <c r="L190" s="16" t="str">
        <f>IF(AND(L$10&gt;=$D190,L$11&lt;=$E190),VLOOKUP($F190,$K$2:Z$8,L$1,"Falsch"),"")</f>
        <v/>
      </c>
      <c r="M190" s="16" t="str">
        <f>IF(AND(M$10&gt;=$D190,M$11&lt;=$E190),VLOOKUP($F190,$K$2:AA$8,M$1,"Falsch"),"")</f>
        <v/>
      </c>
      <c r="N190" s="16" t="str">
        <f>IF(AND(N$10&gt;=$D190,N$11&lt;=$E190),VLOOKUP($F190,$K$2:AB$8,N$1,"Falsch"),"")</f>
        <v/>
      </c>
      <c r="O190" s="16" t="str">
        <f>IF(AND(O$10&gt;=$D190,O$11&lt;=$E190),VLOOKUP($F190,$K$2:AC$8,O$1,"Falsch"),"")</f>
        <v/>
      </c>
      <c r="P190" s="16" t="str">
        <f>IF(AND(P$10&gt;=$D190,P$11&lt;=$E190),VLOOKUP($F190,$K$2:AD$8,P$1,"Falsch"),"")</f>
        <v/>
      </c>
      <c r="Q190" s="16" t="str">
        <f>IF(AND(Q$10&gt;=$D190,Q$11&lt;=$E190),VLOOKUP($F190,$K$2:AE$8,Q$1,"Falsch"),"")</f>
        <v/>
      </c>
      <c r="R190" s="16" t="str">
        <f>IF(AND(R$10&gt;=$D190,R$11&lt;=$E190),VLOOKUP($F190,$K$2:AF$8,R$1,"Falsch"),"")</f>
        <v/>
      </c>
      <c r="S190" s="16" t="str">
        <f>IF(AND(S$10&gt;=$D190,S$11&lt;=$E190),VLOOKUP($F190,$K$2:AG$8,S$1,"Falsch"),"")</f>
        <v/>
      </c>
      <c r="T190" s="16" t="str">
        <f>IF(AND(T$10&gt;=$D190,T$11&lt;=$E190),VLOOKUP($F190,$K$2:AH$8,T$1,"Falsch"),"")</f>
        <v/>
      </c>
      <c r="U190" s="16" t="str">
        <f>IF(AND(U$10&gt;=$D190,U$11&lt;=$E190),VLOOKUP($F190,$K$2:AI$8,U$1,"Falsch"),"")</f>
        <v/>
      </c>
      <c r="V190" s="16" t="str">
        <f>IF(AND(V$10&gt;=$D190,V$11&lt;=$E190),VLOOKUP($F190,$K$2:AJ$8,V$1,"Falsch"),"")</f>
        <v/>
      </c>
      <c r="W190" s="16" t="str">
        <f>IF(AND(W$10&gt;=$D190,W$11&lt;=$E190),VLOOKUP($F190,$K$2:AK$8,W$1,"Falsch"),"")</f>
        <v/>
      </c>
      <c r="X190" s="16" t="str">
        <f>IF(AND(X$10&gt;=$D190,X$11&lt;=$E190),VLOOKUP($F190,$K$2:AL$8,X$1,"Falsch"),"")</f>
        <v/>
      </c>
      <c r="Y190" s="16" t="str">
        <f>IF(AND(Y$10&gt;=$D190,Y$11&lt;=$E190),VLOOKUP($F190,$K$2:AM$8,Y$1,"Falsch"),"")</f>
        <v/>
      </c>
      <c r="Z190" s="16" t="str">
        <f>IF(AND(Z$10&gt;=$D190,Z$11&lt;=$E190),VLOOKUP($F190,$K$2:AN$8,Z$1,"Falsch"),"")</f>
        <v/>
      </c>
      <c r="AA190" s="16" t="str">
        <f>IF(AND(AA$10&gt;=$D190,AA$11&lt;=$E190),VLOOKUP($F190,$K$2:AO$8,AA$1,"Falsch"),"")</f>
        <v/>
      </c>
      <c r="AB190" s="16" t="str">
        <f>IF(AND(AB$10&gt;=$D190,AB$11&lt;=$E190),VLOOKUP($F190,$K$2:AP$8,AB$1,"Falsch"),"")</f>
        <v/>
      </c>
      <c r="AC190" s="16" t="str">
        <f>IF(AND(AC$10&gt;=$D190,AC$11&lt;=$E190),VLOOKUP($F190,$K$2:AQ$8,AC$1,"Falsch"),"")</f>
        <v/>
      </c>
      <c r="AD190" s="16" t="str">
        <f>IF(AND(AD$10&gt;=$D190,AD$11&lt;=$E190),VLOOKUP($F190,$K$2:AR$8,AD$1,"Falsch"),"")</f>
        <v/>
      </c>
    </row>
    <row r="191" spans="9:30" x14ac:dyDescent="0.25">
      <c r="I191" s="21">
        <f t="shared" si="35"/>
        <v>0</v>
      </c>
      <c r="K191" s="25">
        <f t="shared" si="34"/>
        <v>0</v>
      </c>
      <c r="L191" s="16" t="str">
        <f>IF(AND(L$10&gt;=$D191,L$11&lt;=$E191),VLOOKUP($F191,$K$2:Z$8,L$1,"Falsch"),"")</f>
        <v/>
      </c>
      <c r="M191" s="16" t="str">
        <f>IF(AND(M$10&gt;=$D191,M$11&lt;=$E191),VLOOKUP($F191,$K$2:AA$8,M$1,"Falsch"),"")</f>
        <v/>
      </c>
      <c r="N191" s="16" t="str">
        <f>IF(AND(N$10&gt;=$D191,N$11&lt;=$E191),VLOOKUP($F191,$K$2:AB$8,N$1,"Falsch"),"")</f>
        <v/>
      </c>
      <c r="O191" s="16" t="str">
        <f>IF(AND(O$10&gt;=$D191,O$11&lt;=$E191),VLOOKUP($F191,$K$2:AC$8,O$1,"Falsch"),"")</f>
        <v/>
      </c>
      <c r="P191" s="16" t="str">
        <f>IF(AND(P$10&gt;=$D191,P$11&lt;=$E191),VLOOKUP($F191,$K$2:AD$8,P$1,"Falsch"),"")</f>
        <v/>
      </c>
      <c r="Q191" s="16" t="str">
        <f>IF(AND(Q$10&gt;=$D191,Q$11&lt;=$E191),VLOOKUP($F191,$K$2:AE$8,Q$1,"Falsch"),"")</f>
        <v/>
      </c>
      <c r="R191" s="16" t="str">
        <f>IF(AND(R$10&gt;=$D191,R$11&lt;=$E191),VLOOKUP($F191,$K$2:AF$8,R$1,"Falsch"),"")</f>
        <v/>
      </c>
      <c r="S191" s="16" t="str">
        <f>IF(AND(S$10&gt;=$D191,S$11&lt;=$E191),VLOOKUP($F191,$K$2:AG$8,S$1,"Falsch"),"")</f>
        <v/>
      </c>
      <c r="T191" s="16" t="str">
        <f>IF(AND(T$10&gt;=$D191,T$11&lt;=$E191),VLOOKUP($F191,$K$2:AH$8,T$1,"Falsch"),"")</f>
        <v/>
      </c>
      <c r="U191" s="16" t="str">
        <f>IF(AND(U$10&gt;=$D191,U$11&lt;=$E191),VLOOKUP($F191,$K$2:AI$8,U$1,"Falsch"),"")</f>
        <v/>
      </c>
      <c r="V191" s="16" t="str">
        <f>IF(AND(V$10&gt;=$D191,V$11&lt;=$E191),VLOOKUP($F191,$K$2:AJ$8,V$1,"Falsch"),"")</f>
        <v/>
      </c>
      <c r="W191" s="16" t="str">
        <f>IF(AND(W$10&gt;=$D191,W$11&lt;=$E191),VLOOKUP($F191,$K$2:AK$8,W$1,"Falsch"),"")</f>
        <v/>
      </c>
      <c r="X191" s="16" t="str">
        <f>IF(AND(X$10&gt;=$D191,X$11&lt;=$E191),VLOOKUP($F191,$K$2:AL$8,X$1,"Falsch"),"")</f>
        <v/>
      </c>
      <c r="Y191" s="16" t="str">
        <f>IF(AND(Y$10&gt;=$D191,Y$11&lt;=$E191),VLOOKUP($F191,$K$2:AM$8,Y$1,"Falsch"),"")</f>
        <v/>
      </c>
      <c r="Z191" s="16" t="str">
        <f>IF(AND(Z$10&gt;=$D191,Z$11&lt;=$E191),VLOOKUP($F191,$K$2:AN$8,Z$1,"Falsch"),"")</f>
        <v/>
      </c>
      <c r="AA191" s="16" t="str">
        <f>IF(AND(AA$10&gt;=$D191,AA$11&lt;=$E191),VLOOKUP($F191,$K$2:AO$8,AA$1,"Falsch"),"")</f>
        <v/>
      </c>
      <c r="AB191" s="16" t="str">
        <f>IF(AND(AB$10&gt;=$D191,AB$11&lt;=$E191),VLOOKUP($F191,$K$2:AP$8,AB$1,"Falsch"),"")</f>
        <v/>
      </c>
      <c r="AC191" s="16" t="str">
        <f>IF(AND(AC$10&gt;=$D191,AC$11&lt;=$E191),VLOOKUP($F191,$K$2:AQ$8,AC$1,"Falsch"),"")</f>
        <v/>
      </c>
      <c r="AD191" s="16" t="str">
        <f>IF(AND(AD$10&gt;=$D191,AD$11&lt;=$E191),VLOOKUP($F191,$K$2:AR$8,AD$1,"Falsch"),"")</f>
        <v/>
      </c>
    </row>
    <row r="192" spans="9:30" x14ac:dyDescent="0.25">
      <c r="I192" s="21">
        <f t="shared" si="35"/>
        <v>0</v>
      </c>
      <c r="K192" s="25">
        <f t="shared" si="34"/>
        <v>0</v>
      </c>
      <c r="L192" s="16" t="str">
        <f>IF(AND(L$10&gt;=$D192,L$11&lt;=$E192),VLOOKUP($F192,$K$2:Z$8,L$1,"Falsch"),"")</f>
        <v/>
      </c>
      <c r="M192" s="16" t="str">
        <f>IF(AND(M$10&gt;=$D192,M$11&lt;=$E192),VLOOKUP($F192,$K$2:AA$8,M$1,"Falsch"),"")</f>
        <v/>
      </c>
      <c r="N192" s="16" t="str">
        <f>IF(AND(N$10&gt;=$D192,N$11&lt;=$E192),VLOOKUP($F192,$K$2:AB$8,N$1,"Falsch"),"")</f>
        <v/>
      </c>
      <c r="O192" s="16" t="str">
        <f>IF(AND(O$10&gt;=$D192,O$11&lt;=$E192),VLOOKUP($F192,$K$2:AC$8,O$1,"Falsch"),"")</f>
        <v/>
      </c>
      <c r="P192" s="16" t="str">
        <f>IF(AND(P$10&gt;=$D192,P$11&lt;=$E192),VLOOKUP($F192,$K$2:AD$8,P$1,"Falsch"),"")</f>
        <v/>
      </c>
      <c r="Q192" s="16" t="str">
        <f>IF(AND(Q$10&gt;=$D192,Q$11&lt;=$E192),VLOOKUP($F192,$K$2:AE$8,Q$1,"Falsch"),"")</f>
        <v/>
      </c>
      <c r="R192" s="16" t="str">
        <f>IF(AND(R$10&gt;=$D192,R$11&lt;=$E192),VLOOKUP($F192,$K$2:AF$8,R$1,"Falsch"),"")</f>
        <v/>
      </c>
      <c r="S192" s="16" t="str">
        <f>IF(AND(S$10&gt;=$D192,S$11&lt;=$E192),VLOOKUP($F192,$K$2:AG$8,S$1,"Falsch"),"")</f>
        <v/>
      </c>
      <c r="T192" s="16" t="str">
        <f>IF(AND(T$10&gt;=$D192,T$11&lt;=$E192),VLOOKUP($F192,$K$2:AH$8,T$1,"Falsch"),"")</f>
        <v/>
      </c>
      <c r="U192" s="16" t="str">
        <f>IF(AND(U$10&gt;=$D192,U$11&lt;=$E192),VLOOKUP($F192,$K$2:AI$8,U$1,"Falsch"),"")</f>
        <v/>
      </c>
      <c r="V192" s="16" t="str">
        <f>IF(AND(V$10&gt;=$D192,V$11&lt;=$E192),VLOOKUP($F192,$K$2:AJ$8,V$1,"Falsch"),"")</f>
        <v/>
      </c>
      <c r="W192" s="16" t="str">
        <f>IF(AND(W$10&gt;=$D192,W$11&lt;=$E192),VLOOKUP($F192,$K$2:AK$8,W$1,"Falsch"),"")</f>
        <v/>
      </c>
      <c r="X192" s="16" t="str">
        <f>IF(AND(X$10&gt;=$D192,X$11&lt;=$E192),VLOOKUP($F192,$K$2:AL$8,X$1,"Falsch"),"")</f>
        <v/>
      </c>
      <c r="Y192" s="16" t="str">
        <f>IF(AND(Y$10&gt;=$D192,Y$11&lt;=$E192),VLOOKUP($F192,$K$2:AM$8,Y$1,"Falsch"),"")</f>
        <v/>
      </c>
      <c r="Z192" s="16" t="str">
        <f>IF(AND(Z$10&gt;=$D192,Z$11&lt;=$E192),VLOOKUP($F192,$K$2:AN$8,Z$1,"Falsch"),"")</f>
        <v/>
      </c>
      <c r="AA192" s="16" t="str">
        <f>IF(AND(AA$10&gt;=$D192,AA$11&lt;=$E192),VLOOKUP($F192,$K$2:AO$8,AA$1,"Falsch"),"")</f>
        <v/>
      </c>
      <c r="AB192" s="16" t="str">
        <f>IF(AND(AB$10&gt;=$D192,AB$11&lt;=$E192),VLOOKUP($F192,$K$2:AP$8,AB$1,"Falsch"),"")</f>
        <v/>
      </c>
      <c r="AC192" s="16" t="str">
        <f>IF(AND(AC$10&gt;=$D192,AC$11&lt;=$E192),VLOOKUP($F192,$K$2:AQ$8,AC$1,"Falsch"),"")</f>
        <v/>
      </c>
      <c r="AD192" s="16" t="str">
        <f>IF(AND(AD$10&gt;=$D192,AD$11&lt;=$E192),VLOOKUP($F192,$K$2:AR$8,AD$1,"Falsch"),"")</f>
        <v/>
      </c>
    </row>
    <row r="193" spans="9:30" x14ac:dyDescent="0.25">
      <c r="I193" s="21">
        <f t="shared" si="35"/>
        <v>0</v>
      </c>
      <c r="K193" s="25">
        <f t="shared" si="34"/>
        <v>0</v>
      </c>
      <c r="L193" s="16" t="str">
        <f>IF(AND(L$10&gt;=$D193,L$11&lt;=$E193),VLOOKUP($F193,$K$2:Z$8,L$1,"Falsch"),"")</f>
        <v/>
      </c>
      <c r="M193" s="16" t="str">
        <f>IF(AND(M$10&gt;=$D193,M$11&lt;=$E193),VLOOKUP($F193,$K$2:AA$8,M$1,"Falsch"),"")</f>
        <v/>
      </c>
      <c r="N193" s="16" t="str">
        <f>IF(AND(N$10&gt;=$D193,N$11&lt;=$E193),VLOOKUP($F193,$K$2:AB$8,N$1,"Falsch"),"")</f>
        <v/>
      </c>
      <c r="O193" s="16" t="str">
        <f>IF(AND(O$10&gt;=$D193,O$11&lt;=$E193),VLOOKUP($F193,$K$2:AC$8,O$1,"Falsch"),"")</f>
        <v/>
      </c>
      <c r="P193" s="16" t="str">
        <f>IF(AND(P$10&gt;=$D193,P$11&lt;=$E193),VLOOKUP($F193,$K$2:AD$8,P$1,"Falsch"),"")</f>
        <v/>
      </c>
      <c r="Q193" s="16" t="str">
        <f>IF(AND(Q$10&gt;=$D193,Q$11&lt;=$E193),VLOOKUP($F193,$K$2:AE$8,Q$1,"Falsch"),"")</f>
        <v/>
      </c>
      <c r="R193" s="16" t="str">
        <f>IF(AND(R$10&gt;=$D193,R$11&lt;=$E193),VLOOKUP($F193,$K$2:AF$8,R$1,"Falsch"),"")</f>
        <v/>
      </c>
      <c r="S193" s="16" t="str">
        <f>IF(AND(S$10&gt;=$D193,S$11&lt;=$E193),VLOOKUP($F193,$K$2:AG$8,S$1,"Falsch"),"")</f>
        <v/>
      </c>
      <c r="T193" s="16" t="str">
        <f>IF(AND(T$10&gt;=$D193,T$11&lt;=$E193),VLOOKUP($F193,$K$2:AH$8,T$1,"Falsch"),"")</f>
        <v/>
      </c>
      <c r="U193" s="16" t="str">
        <f>IF(AND(U$10&gt;=$D193,U$11&lt;=$E193),VLOOKUP($F193,$K$2:AI$8,U$1,"Falsch"),"")</f>
        <v/>
      </c>
      <c r="V193" s="16" t="str">
        <f>IF(AND(V$10&gt;=$D193,V$11&lt;=$E193),VLOOKUP($F193,$K$2:AJ$8,V$1,"Falsch"),"")</f>
        <v/>
      </c>
      <c r="W193" s="16" t="str">
        <f>IF(AND(W$10&gt;=$D193,W$11&lt;=$E193),VLOOKUP($F193,$K$2:AK$8,W$1,"Falsch"),"")</f>
        <v/>
      </c>
      <c r="X193" s="16" t="str">
        <f>IF(AND(X$10&gt;=$D193,X$11&lt;=$E193),VLOOKUP($F193,$K$2:AL$8,X$1,"Falsch"),"")</f>
        <v/>
      </c>
      <c r="Y193" s="16" t="str">
        <f>IF(AND(Y$10&gt;=$D193,Y$11&lt;=$E193),VLOOKUP($F193,$K$2:AM$8,Y$1,"Falsch"),"")</f>
        <v/>
      </c>
      <c r="Z193" s="16" t="str">
        <f>IF(AND(Z$10&gt;=$D193,Z$11&lt;=$E193),VLOOKUP($F193,$K$2:AN$8,Z$1,"Falsch"),"")</f>
        <v/>
      </c>
      <c r="AA193" s="16" t="str">
        <f>IF(AND(AA$10&gt;=$D193,AA$11&lt;=$E193),VLOOKUP($F193,$K$2:AO$8,AA$1,"Falsch"),"")</f>
        <v/>
      </c>
      <c r="AB193" s="16" t="str">
        <f>IF(AND(AB$10&gt;=$D193,AB$11&lt;=$E193),VLOOKUP($F193,$K$2:AP$8,AB$1,"Falsch"),"")</f>
        <v/>
      </c>
      <c r="AC193" s="16" t="str">
        <f>IF(AND(AC$10&gt;=$D193,AC$11&lt;=$E193),VLOOKUP($F193,$K$2:AQ$8,AC$1,"Falsch"),"")</f>
        <v/>
      </c>
      <c r="AD193" s="16" t="str">
        <f>IF(AND(AD$10&gt;=$D193,AD$11&lt;=$E193),VLOOKUP($F193,$K$2:AR$8,AD$1,"Falsch"),"")</f>
        <v/>
      </c>
    </row>
    <row r="194" spans="9:30" x14ac:dyDescent="0.25">
      <c r="I194" s="21">
        <f t="shared" si="35"/>
        <v>0</v>
      </c>
      <c r="K194" s="25">
        <f t="shared" si="34"/>
        <v>0</v>
      </c>
      <c r="L194" s="16" t="str">
        <f>IF(AND(L$10&gt;=$D194,L$11&lt;=$E194),VLOOKUP($F194,$K$2:Z$8,L$1,"Falsch"),"")</f>
        <v/>
      </c>
      <c r="M194" s="16" t="str">
        <f>IF(AND(M$10&gt;=$D194,M$11&lt;=$E194),VLOOKUP($F194,$K$2:AA$8,M$1,"Falsch"),"")</f>
        <v/>
      </c>
      <c r="N194" s="16" t="str">
        <f>IF(AND(N$10&gt;=$D194,N$11&lt;=$E194),VLOOKUP($F194,$K$2:AB$8,N$1,"Falsch"),"")</f>
        <v/>
      </c>
      <c r="O194" s="16" t="str">
        <f>IF(AND(O$10&gt;=$D194,O$11&lt;=$E194),VLOOKUP($F194,$K$2:AC$8,O$1,"Falsch"),"")</f>
        <v/>
      </c>
      <c r="P194" s="16" t="str">
        <f>IF(AND(P$10&gt;=$D194,P$11&lt;=$E194),VLOOKUP($F194,$K$2:AD$8,P$1,"Falsch"),"")</f>
        <v/>
      </c>
      <c r="Q194" s="16" t="str">
        <f>IF(AND(Q$10&gt;=$D194,Q$11&lt;=$E194),VLOOKUP($F194,$K$2:AE$8,Q$1,"Falsch"),"")</f>
        <v/>
      </c>
      <c r="R194" s="16" t="str">
        <f>IF(AND(R$10&gt;=$D194,R$11&lt;=$E194),VLOOKUP($F194,$K$2:AF$8,R$1,"Falsch"),"")</f>
        <v/>
      </c>
      <c r="S194" s="16" t="str">
        <f>IF(AND(S$10&gt;=$D194,S$11&lt;=$E194),VLOOKUP($F194,$K$2:AG$8,S$1,"Falsch"),"")</f>
        <v/>
      </c>
      <c r="T194" s="16" t="str">
        <f>IF(AND(T$10&gt;=$D194,T$11&lt;=$E194),VLOOKUP($F194,$K$2:AH$8,T$1,"Falsch"),"")</f>
        <v/>
      </c>
      <c r="U194" s="16" t="str">
        <f>IF(AND(U$10&gt;=$D194,U$11&lt;=$E194),VLOOKUP($F194,$K$2:AI$8,U$1,"Falsch"),"")</f>
        <v/>
      </c>
      <c r="V194" s="16" t="str">
        <f>IF(AND(V$10&gt;=$D194,V$11&lt;=$E194),VLOOKUP($F194,$K$2:AJ$8,V$1,"Falsch"),"")</f>
        <v/>
      </c>
      <c r="W194" s="16" t="str">
        <f>IF(AND(W$10&gt;=$D194,W$11&lt;=$E194),VLOOKUP($F194,$K$2:AK$8,W$1,"Falsch"),"")</f>
        <v/>
      </c>
      <c r="X194" s="16" t="str">
        <f>IF(AND(X$10&gt;=$D194,X$11&lt;=$E194),VLOOKUP($F194,$K$2:AL$8,X$1,"Falsch"),"")</f>
        <v/>
      </c>
      <c r="Y194" s="16" t="str">
        <f>IF(AND(Y$10&gt;=$D194,Y$11&lt;=$E194),VLOOKUP($F194,$K$2:AM$8,Y$1,"Falsch"),"")</f>
        <v/>
      </c>
      <c r="Z194" s="16" t="str">
        <f>IF(AND(Z$10&gt;=$D194,Z$11&lt;=$E194),VLOOKUP($F194,$K$2:AN$8,Z$1,"Falsch"),"")</f>
        <v/>
      </c>
      <c r="AA194" s="16" t="str">
        <f>IF(AND(AA$10&gt;=$D194,AA$11&lt;=$E194),VLOOKUP($F194,$K$2:AO$8,AA$1,"Falsch"),"")</f>
        <v/>
      </c>
      <c r="AB194" s="16" t="str">
        <f>IF(AND(AB$10&gt;=$D194,AB$11&lt;=$E194),VLOOKUP($F194,$K$2:AP$8,AB$1,"Falsch"),"")</f>
        <v/>
      </c>
      <c r="AC194" s="16" t="str">
        <f>IF(AND(AC$10&gt;=$D194,AC$11&lt;=$E194),VLOOKUP($F194,$K$2:AQ$8,AC$1,"Falsch"),"")</f>
        <v/>
      </c>
      <c r="AD194" s="16" t="str">
        <f>IF(AND(AD$10&gt;=$D194,AD$11&lt;=$E194),VLOOKUP($F194,$K$2:AR$8,AD$1,"Falsch"),"")</f>
        <v/>
      </c>
    </row>
    <row r="195" spans="9:30" x14ac:dyDescent="0.25">
      <c r="I195" s="21">
        <f t="shared" si="35"/>
        <v>0</v>
      </c>
      <c r="K195" s="25">
        <f t="shared" si="34"/>
        <v>0</v>
      </c>
      <c r="L195" s="16" t="str">
        <f>IF(AND(L$10&gt;=$D195,L$11&lt;=$E195),VLOOKUP($F195,$K$2:Z$8,L$1,"Falsch"),"")</f>
        <v/>
      </c>
      <c r="M195" s="16" t="str">
        <f>IF(AND(M$10&gt;=$D195,M$11&lt;=$E195),VLOOKUP($F195,$K$2:AA$8,M$1,"Falsch"),"")</f>
        <v/>
      </c>
      <c r="N195" s="16" t="str">
        <f>IF(AND(N$10&gt;=$D195,N$11&lt;=$E195),VLOOKUP($F195,$K$2:AB$8,N$1,"Falsch"),"")</f>
        <v/>
      </c>
      <c r="O195" s="16" t="str">
        <f>IF(AND(O$10&gt;=$D195,O$11&lt;=$E195),VLOOKUP($F195,$K$2:AC$8,O$1,"Falsch"),"")</f>
        <v/>
      </c>
      <c r="P195" s="16" t="str">
        <f>IF(AND(P$10&gt;=$D195,P$11&lt;=$E195),VLOOKUP($F195,$K$2:AD$8,P$1,"Falsch"),"")</f>
        <v/>
      </c>
      <c r="Q195" s="16" t="str">
        <f>IF(AND(Q$10&gt;=$D195,Q$11&lt;=$E195),VLOOKUP($F195,$K$2:AE$8,Q$1,"Falsch"),"")</f>
        <v/>
      </c>
      <c r="R195" s="16" t="str">
        <f>IF(AND(R$10&gt;=$D195,R$11&lt;=$E195),VLOOKUP($F195,$K$2:AF$8,R$1,"Falsch"),"")</f>
        <v/>
      </c>
      <c r="S195" s="16" t="str">
        <f>IF(AND(S$10&gt;=$D195,S$11&lt;=$E195),VLOOKUP($F195,$K$2:AG$8,S$1,"Falsch"),"")</f>
        <v/>
      </c>
      <c r="T195" s="16" t="str">
        <f>IF(AND(T$10&gt;=$D195,T$11&lt;=$E195),VLOOKUP($F195,$K$2:AH$8,T$1,"Falsch"),"")</f>
        <v/>
      </c>
      <c r="U195" s="16" t="str">
        <f>IF(AND(U$10&gt;=$D195,U$11&lt;=$E195),VLOOKUP($F195,$K$2:AI$8,U$1,"Falsch"),"")</f>
        <v/>
      </c>
      <c r="V195" s="16" t="str">
        <f>IF(AND(V$10&gt;=$D195,V$11&lt;=$E195),VLOOKUP($F195,$K$2:AJ$8,V$1,"Falsch"),"")</f>
        <v/>
      </c>
      <c r="W195" s="16" t="str">
        <f>IF(AND(W$10&gt;=$D195,W$11&lt;=$E195),VLOOKUP($F195,$K$2:AK$8,W$1,"Falsch"),"")</f>
        <v/>
      </c>
      <c r="X195" s="16" t="str">
        <f>IF(AND(X$10&gt;=$D195,X$11&lt;=$E195),VLOOKUP($F195,$K$2:AL$8,X$1,"Falsch"),"")</f>
        <v/>
      </c>
      <c r="Y195" s="16" t="str">
        <f>IF(AND(Y$10&gt;=$D195,Y$11&lt;=$E195),VLOOKUP($F195,$K$2:AM$8,Y$1,"Falsch"),"")</f>
        <v/>
      </c>
      <c r="Z195" s="16" t="str">
        <f>IF(AND(Z$10&gt;=$D195,Z$11&lt;=$E195),VLOOKUP($F195,$K$2:AN$8,Z$1,"Falsch"),"")</f>
        <v/>
      </c>
      <c r="AA195" s="16" t="str">
        <f>IF(AND(AA$10&gt;=$D195,AA$11&lt;=$E195),VLOOKUP($F195,$K$2:AO$8,AA$1,"Falsch"),"")</f>
        <v/>
      </c>
      <c r="AB195" s="16" t="str">
        <f>IF(AND(AB$10&gt;=$D195,AB$11&lt;=$E195),VLOOKUP($F195,$K$2:AP$8,AB$1,"Falsch"),"")</f>
        <v/>
      </c>
      <c r="AC195" s="16" t="str">
        <f>IF(AND(AC$10&gt;=$D195,AC$11&lt;=$E195),VLOOKUP($F195,$K$2:AQ$8,AC$1,"Falsch"),"")</f>
        <v/>
      </c>
      <c r="AD195" s="16" t="str">
        <f>IF(AND(AD$10&gt;=$D195,AD$11&lt;=$E195),VLOOKUP($F195,$K$2:AR$8,AD$1,"Falsch"),"")</f>
        <v/>
      </c>
    </row>
    <row r="196" spans="9:30" x14ac:dyDescent="0.25">
      <c r="I196" s="21">
        <f t="shared" si="35"/>
        <v>0</v>
      </c>
      <c r="K196" s="25">
        <f t="shared" si="34"/>
        <v>0</v>
      </c>
      <c r="L196" s="16" t="str">
        <f>IF(AND(L$10&gt;=$D196,L$11&lt;=$E196),VLOOKUP($F196,$K$2:Z$8,L$1,"Falsch"),"")</f>
        <v/>
      </c>
      <c r="M196" s="16" t="str">
        <f>IF(AND(M$10&gt;=$D196,M$11&lt;=$E196),VLOOKUP($F196,$K$2:AA$8,M$1,"Falsch"),"")</f>
        <v/>
      </c>
      <c r="N196" s="16" t="str">
        <f>IF(AND(N$10&gt;=$D196,N$11&lt;=$E196),VLOOKUP($F196,$K$2:AB$8,N$1,"Falsch"),"")</f>
        <v/>
      </c>
      <c r="O196" s="16" t="str">
        <f>IF(AND(O$10&gt;=$D196,O$11&lt;=$E196),VLOOKUP($F196,$K$2:AC$8,O$1,"Falsch"),"")</f>
        <v/>
      </c>
      <c r="P196" s="16" t="str">
        <f>IF(AND(P$10&gt;=$D196,P$11&lt;=$E196),VLOOKUP($F196,$K$2:AD$8,P$1,"Falsch"),"")</f>
        <v/>
      </c>
      <c r="Q196" s="16" t="str">
        <f>IF(AND(Q$10&gt;=$D196,Q$11&lt;=$E196),VLOOKUP($F196,$K$2:AE$8,Q$1,"Falsch"),"")</f>
        <v/>
      </c>
      <c r="R196" s="16" t="str">
        <f>IF(AND(R$10&gt;=$D196,R$11&lt;=$E196),VLOOKUP($F196,$K$2:AF$8,R$1,"Falsch"),"")</f>
        <v/>
      </c>
      <c r="S196" s="16" t="str">
        <f>IF(AND(S$10&gt;=$D196,S$11&lt;=$E196),VLOOKUP($F196,$K$2:AG$8,S$1,"Falsch"),"")</f>
        <v/>
      </c>
      <c r="T196" s="16" t="str">
        <f>IF(AND(T$10&gt;=$D196,T$11&lt;=$E196),VLOOKUP($F196,$K$2:AH$8,T$1,"Falsch"),"")</f>
        <v/>
      </c>
      <c r="U196" s="16" t="str">
        <f>IF(AND(U$10&gt;=$D196,U$11&lt;=$E196),VLOOKUP($F196,$K$2:AI$8,U$1,"Falsch"),"")</f>
        <v/>
      </c>
      <c r="V196" s="16" t="str">
        <f>IF(AND(V$10&gt;=$D196,V$11&lt;=$E196),VLOOKUP($F196,$K$2:AJ$8,V$1,"Falsch"),"")</f>
        <v/>
      </c>
      <c r="W196" s="16" t="str">
        <f>IF(AND(W$10&gt;=$D196,W$11&lt;=$E196),VLOOKUP($F196,$K$2:AK$8,W$1,"Falsch"),"")</f>
        <v/>
      </c>
      <c r="X196" s="16" t="str">
        <f>IF(AND(X$10&gt;=$D196,X$11&lt;=$E196),VLOOKUP($F196,$K$2:AL$8,X$1,"Falsch"),"")</f>
        <v/>
      </c>
      <c r="Y196" s="16" t="str">
        <f>IF(AND(Y$10&gt;=$D196,Y$11&lt;=$E196),VLOOKUP($F196,$K$2:AM$8,Y$1,"Falsch"),"")</f>
        <v/>
      </c>
      <c r="Z196" s="16" t="str">
        <f>IF(AND(Z$10&gt;=$D196,Z$11&lt;=$E196),VLOOKUP($F196,$K$2:AN$8,Z$1,"Falsch"),"")</f>
        <v/>
      </c>
      <c r="AA196" s="16" t="str">
        <f>IF(AND(AA$10&gt;=$D196,AA$11&lt;=$E196),VLOOKUP($F196,$K$2:AO$8,AA$1,"Falsch"),"")</f>
        <v/>
      </c>
      <c r="AB196" s="16" t="str">
        <f>IF(AND(AB$10&gt;=$D196,AB$11&lt;=$E196),VLOOKUP($F196,$K$2:AP$8,AB$1,"Falsch"),"")</f>
        <v/>
      </c>
      <c r="AC196" s="16" t="str">
        <f>IF(AND(AC$10&gt;=$D196,AC$11&lt;=$E196),VLOOKUP($F196,$K$2:AQ$8,AC$1,"Falsch"),"")</f>
        <v/>
      </c>
      <c r="AD196" s="16" t="str">
        <f>IF(AND(AD$10&gt;=$D196,AD$11&lt;=$E196),VLOOKUP($F196,$K$2:AR$8,AD$1,"Falsch"),"")</f>
        <v/>
      </c>
    </row>
    <row r="197" spans="9:30" x14ac:dyDescent="0.25">
      <c r="I197" s="21">
        <f t="shared" si="35"/>
        <v>0</v>
      </c>
      <c r="K197" s="25">
        <f t="shared" si="34"/>
        <v>0</v>
      </c>
      <c r="L197" s="16" t="str">
        <f>IF(AND(L$10&gt;=$D197,L$11&lt;=$E197),VLOOKUP($F197,$K$2:Z$8,L$1,"Falsch"),"")</f>
        <v/>
      </c>
      <c r="M197" s="16" t="str">
        <f>IF(AND(M$10&gt;=$D197,M$11&lt;=$E197),VLOOKUP($F197,$K$2:AA$8,M$1,"Falsch"),"")</f>
        <v/>
      </c>
      <c r="N197" s="16" t="str">
        <f>IF(AND(N$10&gt;=$D197,N$11&lt;=$E197),VLOOKUP($F197,$K$2:AB$8,N$1,"Falsch"),"")</f>
        <v/>
      </c>
      <c r="O197" s="16" t="str">
        <f>IF(AND(O$10&gt;=$D197,O$11&lt;=$E197),VLOOKUP($F197,$K$2:AC$8,O$1,"Falsch"),"")</f>
        <v/>
      </c>
      <c r="P197" s="16" t="str">
        <f>IF(AND(P$10&gt;=$D197,P$11&lt;=$E197),VLOOKUP($F197,$K$2:AD$8,P$1,"Falsch"),"")</f>
        <v/>
      </c>
      <c r="Q197" s="16" t="str">
        <f>IF(AND(Q$10&gt;=$D197,Q$11&lt;=$E197),VLOOKUP($F197,$K$2:AE$8,Q$1,"Falsch"),"")</f>
        <v/>
      </c>
      <c r="R197" s="16" t="str">
        <f>IF(AND(R$10&gt;=$D197,R$11&lt;=$E197),VLOOKUP($F197,$K$2:AF$8,R$1,"Falsch"),"")</f>
        <v/>
      </c>
      <c r="S197" s="16" t="str">
        <f>IF(AND(S$10&gt;=$D197,S$11&lt;=$E197),VLOOKUP($F197,$K$2:AG$8,S$1,"Falsch"),"")</f>
        <v/>
      </c>
      <c r="T197" s="16" t="str">
        <f>IF(AND(T$10&gt;=$D197,T$11&lt;=$E197),VLOOKUP($F197,$K$2:AH$8,T$1,"Falsch"),"")</f>
        <v/>
      </c>
      <c r="U197" s="16" t="str">
        <f>IF(AND(U$10&gt;=$D197,U$11&lt;=$E197),VLOOKUP($F197,$K$2:AI$8,U$1,"Falsch"),"")</f>
        <v/>
      </c>
      <c r="V197" s="16" t="str">
        <f>IF(AND(V$10&gt;=$D197,V$11&lt;=$E197),VLOOKUP($F197,$K$2:AJ$8,V$1,"Falsch"),"")</f>
        <v/>
      </c>
      <c r="W197" s="16" t="str">
        <f>IF(AND(W$10&gt;=$D197,W$11&lt;=$E197),VLOOKUP($F197,$K$2:AK$8,W$1,"Falsch"),"")</f>
        <v/>
      </c>
      <c r="X197" s="16" t="str">
        <f>IF(AND(X$10&gt;=$D197,X$11&lt;=$E197),VLOOKUP($F197,$K$2:AL$8,X$1,"Falsch"),"")</f>
        <v/>
      </c>
      <c r="Y197" s="16" t="str">
        <f>IF(AND(Y$10&gt;=$D197,Y$11&lt;=$E197),VLOOKUP($F197,$K$2:AM$8,Y$1,"Falsch"),"")</f>
        <v/>
      </c>
      <c r="Z197" s="16" t="str">
        <f>IF(AND(Z$10&gt;=$D197,Z$11&lt;=$E197),VLOOKUP($F197,$K$2:AN$8,Z$1,"Falsch"),"")</f>
        <v/>
      </c>
      <c r="AA197" s="16" t="str">
        <f>IF(AND(AA$10&gt;=$D197,AA$11&lt;=$E197),VLOOKUP($F197,$K$2:AO$8,AA$1,"Falsch"),"")</f>
        <v/>
      </c>
      <c r="AB197" s="16" t="str">
        <f>IF(AND(AB$10&gt;=$D197,AB$11&lt;=$E197),VLOOKUP($F197,$K$2:AP$8,AB$1,"Falsch"),"")</f>
        <v/>
      </c>
      <c r="AC197" s="16" t="str">
        <f>IF(AND(AC$10&gt;=$D197,AC$11&lt;=$E197),VLOOKUP($F197,$K$2:AQ$8,AC$1,"Falsch"),"")</f>
        <v/>
      </c>
      <c r="AD197" s="16" t="str">
        <f>IF(AND(AD$10&gt;=$D197,AD$11&lt;=$E197),VLOOKUP($F197,$K$2:AR$8,AD$1,"Falsch"),"")</f>
        <v/>
      </c>
    </row>
    <row r="198" spans="9:30" x14ac:dyDescent="0.25">
      <c r="I198" s="21">
        <f t="shared" si="35"/>
        <v>0</v>
      </c>
      <c r="K198" s="25">
        <f t="shared" si="34"/>
        <v>0</v>
      </c>
      <c r="L198" s="16" t="str">
        <f>IF(AND(L$10&gt;=$D198,L$11&lt;=$E198),VLOOKUP($F198,$K$2:Z$8,L$1,"Falsch"),"")</f>
        <v/>
      </c>
      <c r="M198" s="16" t="str">
        <f>IF(AND(M$10&gt;=$D198,M$11&lt;=$E198),VLOOKUP($F198,$K$2:AA$8,M$1,"Falsch"),"")</f>
        <v/>
      </c>
      <c r="N198" s="16" t="str">
        <f>IF(AND(N$10&gt;=$D198,N$11&lt;=$E198),VLOOKUP($F198,$K$2:AB$8,N$1,"Falsch"),"")</f>
        <v/>
      </c>
      <c r="O198" s="16" t="str">
        <f>IF(AND(O$10&gt;=$D198,O$11&lt;=$E198),VLOOKUP($F198,$K$2:AC$8,O$1,"Falsch"),"")</f>
        <v/>
      </c>
      <c r="P198" s="16" t="str">
        <f>IF(AND(P$10&gt;=$D198,P$11&lt;=$E198),VLOOKUP($F198,$K$2:AD$8,P$1,"Falsch"),"")</f>
        <v/>
      </c>
      <c r="Q198" s="16" t="str">
        <f>IF(AND(Q$10&gt;=$D198,Q$11&lt;=$E198),VLOOKUP($F198,$K$2:AE$8,Q$1,"Falsch"),"")</f>
        <v/>
      </c>
      <c r="R198" s="16" t="str">
        <f>IF(AND(R$10&gt;=$D198,R$11&lt;=$E198),VLOOKUP($F198,$K$2:AF$8,R$1,"Falsch"),"")</f>
        <v/>
      </c>
      <c r="S198" s="16" t="str">
        <f>IF(AND(S$10&gt;=$D198,S$11&lt;=$E198),VLOOKUP($F198,$K$2:AG$8,S$1,"Falsch"),"")</f>
        <v/>
      </c>
      <c r="T198" s="16" t="str">
        <f>IF(AND(T$10&gt;=$D198,T$11&lt;=$E198),VLOOKUP($F198,$K$2:AH$8,T$1,"Falsch"),"")</f>
        <v/>
      </c>
      <c r="U198" s="16" t="str">
        <f>IF(AND(U$10&gt;=$D198,U$11&lt;=$E198),VLOOKUP($F198,$K$2:AI$8,U$1,"Falsch"),"")</f>
        <v/>
      </c>
      <c r="V198" s="16" t="str">
        <f>IF(AND(V$10&gt;=$D198,V$11&lt;=$E198),VLOOKUP($F198,$K$2:AJ$8,V$1,"Falsch"),"")</f>
        <v/>
      </c>
      <c r="W198" s="16" t="str">
        <f>IF(AND(W$10&gt;=$D198,W$11&lt;=$E198),VLOOKUP($F198,$K$2:AK$8,W$1,"Falsch"),"")</f>
        <v/>
      </c>
      <c r="X198" s="16" t="str">
        <f>IF(AND(X$10&gt;=$D198,X$11&lt;=$E198),VLOOKUP($F198,$K$2:AL$8,X$1,"Falsch"),"")</f>
        <v/>
      </c>
      <c r="Y198" s="16" t="str">
        <f>IF(AND(Y$10&gt;=$D198,Y$11&lt;=$E198),VLOOKUP($F198,$K$2:AM$8,Y$1,"Falsch"),"")</f>
        <v/>
      </c>
      <c r="Z198" s="16" t="str">
        <f>IF(AND(Z$10&gt;=$D198,Z$11&lt;=$E198),VLOOKUP($F198,$K$2:AN$8,Z$1,"Falsch"),"")</f>
        <v/>
      </c>
      <c r="AA198" s="16" t="str">
        <f>IF(AND(AA$10&gt;=$D198,AA$11&lt;=$E198),VLOOKUP($F198,$K$2:AO$8,AA$1,"Falsch"),"")</f>
        <v/>
      </c>
      <c r="AB198" s="16" t="str">
        <f>IF(AND(AB$10&gt;=$D198,AB$11&lt;=$E198),VLOOKUP($F198,$K$2:AP$8,AB$1,"Falsch"),"")</f>
        <v/>
      </c>
      <c r="AC198" s="16" t="str">
        <f>IF(AND(AC$10&gt;=$D198,AC$11&lt;=$E198),VLOOKUP($F198,$K$2:AQ$8,AC$1,"Falsch"),"")</f>
        <v/>
      </c>
      <c r="AD198" s="16" t="str">
        <f>IF(AND(AD$10&gt;=$D198,AD$11&lt;=$E198),VLOOKUP($F198,$K$2:AR$8,AD$1,"Falsch"),"")</f>
        <v/>
      </c>
    </row>
    <row r="199" spans="9:30" x14ac:dyDescent="0.25">
      <c r="I199" s="21">
        <f t="shared" si="35"/>
        <v>0</v>
      </c>
      <c r="K199" s="25">
        <f t="shared" si="34"/>
        <v>0</v>
      </c>
      <c r="L199" s="16" t="str">
        <f>IF(AND(L$10&gt;=$D199,L$11&lt;=$E199),VLOOKUP($F199,$K$2:Z$8,L$1,"Falsch"),"")</f>
        <v/>
      </c>
      <c r="M199" s="16" t="str">
        <f>IF(AND(M$10&gt;=$D199,M$11&lt;=$E199),VLOOKUP($F199,$K$2:AA$8,M$1,"Falsch"),"")</f>
        <v/>
      </c>
      <c r="N199" s="16" t="str">
        <f>IF(AND(N$10&gt;=$D199,N$11&lt;=$E199),VLOOKUP($F199,$K$2:AB$8,N$1,"Falsch"),"")</f>
        <v/>
      </c>
      <c r="O199" s="16" t="str">
        <f>IF(AND(O$10&gt;=$D199,O$11&lt;=$E199),VLOOKUP($F199,$K$2:AC$8,O$1,"Falsch"),"")</f>
        <v/>
      </c>
      <c r="P199" s="16" t="str">
        <f>IF(AND(P$10&gt;=$D199,P$11&lt;=$E199),VLOOKUP($F199,$K$2:AD$8,P$1,"Falsch"),"")</f>
        <v/>
      </c>
      <c r="Q199" s="16" t="str">
        <f>IF(AND(Q$10&gt;=$D199,Q$11&lt;=$E199),VLOOKUP($F199,$K$2:AE$8,Q$1,"Falsch"),"")</f>
        <v/>
      </c>
      <c r="R199" s="16" t="str">
        <f>IF(AND(R$10&gt;=$D199,R$11&lt;=$E199),VLOOKUP($F199,$K$2:AF$8,R$1,"Falsch"),"")</f>
        <v/>
      </c>
      <c r="S199" s="16" t="str">
        <f>IF(AND(S$10&gt;=$D199,S$11&lt;=$E199),VLOOKUP($F199,$K$2:AG$8,S$1,"Falsch"),"")</f>
        <v/>
      </c>
      <c r="T199" s="16" t="str">
        <f>IF(AND(T$10&gt;=$D199,T$11&lt;=$E199),VLOOKUP($F199,$K$2:AH$8,T$1,"Falsch"),"")</f>
        <v/>
      </c>
      <c r="U199" s="16" t="str">
        <f>IF(AND(U$10&gt;=$D199,U$11&lt;=$E199),VLOOKUP($F199,$K$2:AI$8,U$1,"Falsch"),"")</f>
        <v/>
      </c>
      <c r="V199" s="16" t="str">
        <f>IF(AND(V$10&gt;=$D199,V$11&lt;=$E199),VLOOKUP($F199,$K$2:AJ$8,V$1,"Falsch"),"")</f>
        <v/>
      </c>
      <c r="W199" s="16" t="str">
        <f>IF(AND(W$10&gt;=$D199,W$11&lt;=$E199),VLOOKUP($F199,$K$2:AK$8,W$1,"Falsch"),"")</f>
        <v/>
      </c>
      <c r="X199" s="16" t="str">
        <f>IF(AND(X$10&gt;=$D199,X$11&lt;=$E199),VLOOKUP($F199,$K$2:AL$8,X$1,"Falsch"),"")</f>
        <v/>
      </c>
      <c r="Y199" s="16" t="str">
        <f>IF(AND(Y$10&gt;=$D199,Y$11&lt;=$E199),VLOOKUP($F199,$K$2:AM$8,Y$1,"Falsch"),"")</f>
        <v/>
      </c>
      <c r="Z199" s="16" t="str">
        <f>IF(AND(Z$10&gt;=$D199,Z$11&lt;=$E199),VLOOKUP($F199,$K$2:AN$8,Z$1,"Falsch"),"")</f>
        <v/>
      </c>
      <c r="AA199" s="16" t="str">
        <f>IF(AND(AA$10&gt;=$D199,AA$11&lt;=$E199),VLOOKUP($F199,$K$2:AO$8,AA$1,"Falsch"),"")</f>
        <v/>
      </c>
      <c r="AB199" s="16" t="str">
        <f>IF(AND(AB$10&gt;=$D199,AB$11&lt;=$E199),VLOOKUP($F199,$K$2:AP$8,AB$1,"Falsch"),"")</f>
        <v/>
      </c>
      <c r="AC199" s="16" t="str">
        <f>IF(AND(AC$10&gt;=$D199,AC$11&lt;=$E199),VLOOKUP($F199,$K$2:AQ$8,AC$1,"Falsch"),"")</f>
        <v/>
      </c>
      <c r="AD199" s="16" t="str">
        <f>IF(AND(AD$10&gt;=$D199,AD$11&lt;=$E199),VLOOKUP($F199,$K$2:AR$8,AD$1,"Falsch"),"")</f>
        <v/>
      </c>
    </row>
    <row r="200" spans="9:30" x14ac:dyDescent="0.25">
      <c r="I200" s="21">
        <f t="shared" si="35"/>
        <v>0</v>
      </c>
      <c r="K200" s="25">
        <f t="shared" si="34"/>
        <v>0</v>
      </c>
      <c r="L200" s="16" t="str">
        <f>IF(AND(L$10&gt;=$D200,L$11&lt;=$E200),VLOOKUP($F200,$K$2:Z$8,L$1,"Falsch"),"")</f>
        <v/>
      </c>
      <c r="M200" s="16" t="str">
        <f>IF(AND(M$10&gt;=$D200,M$11&lt;=$E200),VLOOKUP($F200,$K$2:AA$8,M$1,"Falsch"),"")</f>
        <v/>
      </c>
      <c r="N200" s="16" t="str">
        <f>IF(AND(N$10&gt;=$D200,N$11&lt;=$E200),VLOOKUP($F200,$K$2:AB$8,N$1,"Falsch"),"")</f>
        <v/>
      </c>
      <c r="O200" s="16" t="str">
        <f>IF(AND(O$10&gt;=$D200,O$11&lt;=$E200),VLOOKUP($F200,$K$2:AC$8,O$1,"Falsch"),"")</f>
        <v/>
      </c>
      <c r="P200" s="16" t="str">
        <f>IF(AND(P$10&gt;=$D200,P$11&lt;=$E200),VLOOKUP($F200,$K$2:AD$8,P$1,"Falsch"),"")</f>
        <v/>
      </c>
      <c r="Q200" s="16" t="str">
        <f>IF(AND(Q$10&gt;=$D200,Q$11&lt;=$E200),VLOOKUP($F200,$K$2:AE$8,Q$1,"Falsch"),"")</f>
        <v/>
      </c>
      <c r="R200" s="16" t="str">
        <f>IF(AND(R$10&gt;=$D200,R$11&lt;=$E200),VLOOKUP($F200,$K$2:AF$8,R$1,"Falsch"),"")</f>
        <v/>
      </c>
      <c r="S200" s="16" t="str">
        <f>IF(AND(S$10&gt;=$D200,S$11&lt;=$E200),VLOOKUP($F200,$K$2:AG$8,S$1,"Falsch"),"")</f>
        <v/>
      </c>
      <c r="T200" s="16" t="str">
        <f>IF(AND(T$10&gt;=$D200,T$11&lt;=$E200),VLOOKUP($F200,$K$2:AH$8,T$1,"Falsch"),"")</f>
        <v/>
      </c>
      <c r="U200" s="16" t="str">
        <f>IF(AND(U$10&gt;=$D200,U$11&lt;=$E200),VLOOKUP($F200,$K$2:AI$8,U$1,"Falsch"),"")</f>
        <v/>
      </c>
      <c r="V200" s="16" t="str">
        <f>IF(AND(V$10&gt;=$D200,V$11&lt;=$E200),VLOOKUP($F200,$K$2:AJ$8,V$1,"Falsch"),"")</f>
        <v/>
      </c>
      <c r="W200" s="16" t="str">
        <f>IF(AND(W$10&gt;=$D200,W$11&lt;=$E200),VLOOKUP($F200,$K$2:AK$8,W$1,"Falsch"),"")</f>
        <v/>
      </c>
      <c r="X200" s="16" t="str">
        <f>IF(AND(X$10&gt;=$D200,X$11&lt;=$E200),VLOOKUP($F200,$K$2:AL$8,X$1,"Falsch"),"")</f>
        <v/>
      </c>
      <c r="Y200" s="16" t="str">
        <f>IF(AND(Y$10&gt;=$D200,Y$11&lt;=$E200),VLOOKUP($F200,$K$2:AM$8,Y$1,"Falsch"),"")</f>
        <v/>
      </c>
      <c r="Z200" s="16" t="str">
        <f>IF(AND(Z$10&gt;=$D200,Z$11&lt;=$E200),VLOOKUP($F200,$K$2:AN$8,Z$1,"Falsch"),"")</f>
        <v/>
      </c>
      <c r="AA200" s="16" t="str">
        <f>IF(AND(AA$10&gt;=$D200,AA$11&lt;=$E200),VLOOKUP($F200,$K$2:AO$8,AA$1,"Falsch"),"")</f>
        <v/>
      </c>
      <c r="AB200" s="16" t="str">
        <f>IF(AND(AB$10&gt;=$D200,AB$11&lt;=$E200),VLOOKUP($F200,$K$2:AP$8,AB$1,"Falsch"),"")</f>
        <v/>
      </c>
      <c r="AC200" s="16" t="str">
        <f>IF(AND(AC$10&gt;=$D200,AC$11&lt;=$E200),VLOOKUP($F200,$K$2:AQ$8,AC$1,"Falsch"),"")</f>
        <v/>
      </c>
      <c r="AD200" s="16" t="str">
        <f>IF(AND(AD$10&gt;=$D200,AD$11&lt;=$E200),VLOOKUP($F200,$K$2:AR$8,AD$1,"Falsch"),"")</f>
        <v/>
      </c>
    </row>
    <row r="201" spans="9:30" x14ac:dyDescent="0.25">
      <c r="I201" s="21">
        <f t="shared" si="35"/>
        <v>0</v>
      </c>
      <c r="K201" s="25">
        <f t="shared" si="34"/>
        <v>0</v>
      </c>
      <c r="L201" s="16" t="str">
        <f>IF(AND(L$10&gt;=$D201,L$11&lt;=$E201),VLOOKUP($F201,$K$2:Z$8,L$1,"Falsch"),"")</f>
        <v/>
      </c>
      <c r="M201" s="16" t="str">
        <f>IF(AND(M$10&gt;=$D201,M$11&lt;=$E201),VLOOKUP($F201,$K$2:AA$8,M$1,"Falsch"),"")</f>
        <v/>
      </c>
      <c r="N201" s="16" t="str">
        <f>IF(AND(N$10&gt;=$D201,N$11&lt;=$E201),VLOOKUP($F201,$K$2:AB$8,N$1,"Falsch"),"")</f>
        <v/>
      </c>
      <c r="O201" s="16" t="str">
        <f>IF(AND(O$10&gt;=$D201,O$11&lt;=$E201),VLOOKUP($F201,$K$2:AC$8,O$1,"Falsch"),"")</f>
        <v/>
      </c>
      <c r="P201" s="16" t="str">
        <f>IF(AND(P$10&gt;=$D201,P$11&lt;=$E201),VLOOKUP($F201,$K$2:AD$8,P$1,"Falsch"),"")</f>
        <v/>
      </c>
      <c r="Q201" s="16" t="str">
        <f>IF(AND(Q$10&gt;=$D201,Q$11&lt;=$E201),VLOOKUP($F201,$K$2:AE$8,Q$1,"Falsch"),"")</f>
        <v/>
      </c>
      <c r="R201" s="16" t="str">
        <f>IF(AND(R$10&gt;=$D201,R$11&lt;=$E201),VLOOKUP($F201,$K$2:AF$8,R$1,"Falsch"),"")</f>
        <v/>
      </c>
      <c r="S201" s="16" t="str">
        <f>IF(AND(S$10&gt;=$D201,S$11&lt;=$E201),VLOOKUP($F201,$K$2:AG$8,S$1,"Falsch"),"")</f>
        <v/>
      </c>
      <c r="T201" s="16" t="str">
        <f>IF(AND(T$10&gt;=$D201,T$11&lt;=$E201),VLOOKUP($F201,$K$2:AH$8,T$1,"Falsch"),"")</f>
        <v/>
      </c>
      <c r="U201" s="16" t="str">
        <f>IF(AND(U$10&gt;=$D201,U$11&lt;=$E201),VLOOKUP($F201,$K$2:AI$8,U$1,"Falsch"),"")</f>
        <v/>
      </c>
      <c r="V201" s="16" t="str">
        <f>IF(AND(V$10&gt;=$D201,V$11&lt;=$E201),VLOOKUP($F201,$K$2:AJ$8,V$1,"Falsch"),"")</f>
        <v/>
      </c>
      <c r="W201" s="16" t="str">
        <f>IF(AND(W$10&gt;=$D201,W$11&lt;=$E201),VLOOKUP($F201,$K$2:AK$8,W$1,"Falsch"),"")</f>
        <v/>
      </c>
      <c r="X201" s="16" t="str">
        <f>IF(AND(X$10&gt;=$D201,X$11&lt;=$E201),VLOOKUP($F201,$K$2:AL$8,X$1,"Falsch"),"")</f>
        <v/>
      </c>
      <c r="Y201" s="16" t="str">
        <f>IF(AND(Y$10&gt;=$D201,Y$11&lt;=$E201),VLOOKUP($F201,$K$2:AM$8,Y$1,"Falsch"),"")</f>
        <v/>
      </c>
      <c r="Z201" s="16" t="str">
        <f>IF(AND(Z$10&gt;=$D201,Z$11&lt;=$E201),VLOOKUP($F201,$K$2:AN$8,Z$1,"Falsch"),"")</f>
        <v/>
      </c>
      <c r="AA201" s="16" t="str">
        <f>IF(AND(AA$10&gt;=$D201,AA$11&lt;=$E201),VLOOKUP($F201,$K$2:AO$8,AA$1,"Falsch"),"")</f>
        <v/>
      </c>
      <c r="AB201" s="16" t="str">
        <f>IF(AND(AB$10&gt;=$D201,AB$11&lt;=$E201),VLOOKUP($F201,$K$2:AP$8,AB$1,"Falsch"),"")</f>
        <v/>
      </c>
      <c r="AC201" s="16" t="str">
        <f>IF(AND(AC$10&gt;=$D201,AC$11&lt;=$E201),VLOOKUP($F201,$K$2:AQ$8,AC$1,"Falsch"),"")</f>
        <v/>
      </c>
      <c r="AD201" s="16" t="str">
        <f>IF(AND(AD$10&gt;=$D201,AD$11&lt;=$E201),VLOOKUP($F201,$K$2:AR$8,AD$1,"Falsch"),"")</f>
        <v/>
      </c>
    </row>
    <row r="202" spans="9:30" x14ac:dyDescent="0.25">
      <c r="I202" s="21">
        <f t="shared" si="35"/>
        <v>0</v>
      </c>
      <c r="K202" s="25">
        <f t="shared" si="34"/>
        <v>0</v>
      </c>
      <c r="L202" s="16" t="str">
        <f>IF(AND(L$10&gt;=$D202,L$11&lt;=$E202),VLOOKUP($F202,$K$2:Z$8,L$1,"Falsch"),"")</f>
        <v/>
      </c>
      <c r="M202" s="16" t="str">
        <f>IF(AND(M$10&gt;=$D202,M$11&lt;=$E202),VLOOKUP($F202,$K$2:AA$8,M$1,"Falsch"),"")</f>
        <v/>
      </c>
      <c r="N202" s="16" t="str">
        <f>IF(AND(N$10&gt;=$D202,N$11&lt;=$E202),VLOOKUP($F202,$K$2:AB$8,N$1,"Falsch"),"")</f>
        <v/>
      </c>
      <c r="O202" s="16" t="str">
        <f>IF(AND(O$10&gt;=$D202,O$11&lt;=$E202),VLOOKUP($F202,$K$2:AC$8,O$1,"Falsch"),"")</f>
        <v/>
      </c>
      <c r="P202" s="16" t="str">
        <f>IF(AND(P$10&gt;=$D202,P$11&lt;=$E202),VLOOKUP($F202,$K$2:AD$8,P$1,"Falsch"),"")</f>
        <v/>
      </c>
      <c r="Q202" s="16" t="str">
        <f>IF(AND(Q$10&gt;=$D202,Q$11&lt;=$E202),VLOOKUP($F202,$K$2:AE$8,Q$1,"Falsch"),"")</f>
        <v/>
      </c>
      <c r="R202" s="16" t="str">
        <f>IF(AND(R$10&gt;=$D202,R$11&lt;=$E202),VLOOKUP($F202,$K$2:AF$8,R$1,"Falsch"),"")</f>
        <v/>
      </c>
      <c r="S202" s="16" t="str">
        <f>IF(AND(S$10&gt;=$D202,S$11&lt;=$E202),VLOOKUP($F202,$K$2:AG$8,S$1,"Falsch"),"")</f>
        <v/>
      </c>
      <c r="T202" s="16" t="str">
        <f>IF(AND(T$10&gt;=$D202,T$11&lt;=$E202),VLOOKUP($F202,$K$2:AH$8,T$1,"Falsch"),"")</f>
        <v/>
      </c>
      <c r="U202" s="16" t="str">
        <f>IF(AND(U$10&gt;=$D202,U$11&lt;=$E202),VLOOKUP($F202,$K$2:AI$8,U$1,"Falsch"),"")</f>
        <v/>
      </c>
      <c r="V202" s="16" t="str">
        <f>IF(AND(V$10&gt;=$D202,V$11&lt;=$E202),VLOOKUP($F202,$K$2:AJ$8,V$1,"Falsch"),"")</f>
        <v/>
      </c>
      <c r="W202" s="16" t="str">
        <f>IF(AND(W$10&gt;=$D202,W$11&lt;=$E202),VLOOKUP($F202,$K$2:AK$8,W$1,"Falsch"),"")</f>
        <v/>
      </c>
      <c r="X202" s="16" t="str">
        <f>IF(AND(X$10&gt;=$D202,X$11&lt;=$E202),VLOOKUP($F202,$K$2:AL$8,X$1,"Falsch"),"")</f>
        <v/>
      </c>
      <c r="Y202" s="16" t="str">
        <f>IF(AND(Y$10&gt;=$D202,Y$11&lt;=$E202),VLOOKUP($F202,$K$2:AM$8,Y$1,"Falsch"),"")</f>
        <v/>
      </c>
      <c r="Z202" s="16" t="str">
        <f>IF(AND(Z$10&gt;=$D202,Z$11&lt;=$E202),VLOOKUP($F202,$K$2:AN$8,Z$1,"Falsch"),"")</f>
        <v/>
      </c>
      <c r="AA202" s="16" t="str">
        <f>IF(AND(AA$10&gt;=$D202,AA$11&lt;=$E202),VLOOKUP($F202,$K$2:AO$8,AA$1,"Falsch"),"")</f>
        <v/>
      </c>
      <c r="AB202" s="16" t="str">
        <f>IF(AND(AB$10&gt;=$D202,AB$11&lt;=$E202),VLOOKUP($F202,$K$2:AP$8,AB$1,"Falsch"),"")</f>
        <v/>
      </c>
      <c r="AC202" s="16" t="str">
        <f>IF(AND(AC$10&gt;=$D202,AC$11&lt;=$E202),VLOOKUP($F202,$K$2:AQ$8,AC$1,"Falsch"),"")</f>
        <v/>
      </c>
      <c r="AD202" s="16" t="str">
        <f>IF(AND(AD$10&gt;=$D202,AD$11&lt;=$E202),VLOOKUP($F202,$K$2:AR$8,AD$1,"Falsch"),"")</f>
        <v/>
      </c>
    </row>
    <row r="203" spans="9:30" x14ac:dyDescent="0.25">
      <c r="I203" s="21">
        <f t="shared" si="35"/>
        <v>0</v>
      </c>
      <c r="K203" s="25">
        <f t="shared" si="34"/>
        <v>0</v>
      </c>
      <c r="L203" s="16" t="str">
        <f>IF(AND(L$10&gt;=$D203,L$11&lt;=$E203),VLOOKUP($F203,$K$2:Z$8,L$1,"Falsch"),"")</f>
        <v/>
      </c>
      <c r="M203" s="16" t="str">
        <f>IF(AND(M$10&gt;=$D203,M$11&lt;=$E203),VLOOKUP($F203,$K$2:AA$8,M$1,"Falsch"),"")</f>
        <v/>
      </c>
      <c r="N203" s="16" t="str">
        <f>IF(AND(N$10&gt;=$D203,N$11&lt;=$E203),VLOOKUP($F203,$K$2:AB$8,N$1,"Falsch"),"")</f>
        <v/>
      </c>
      <c r="O203" s="16" t="str">
        <f>IF(AND(O$10&gt;=$D203,O$11&lt;=$E203),VLOOKUP($F203,$K$2:AC$8,O$1,"Falsch"),"")</f>
        <v/>
      </c>
      <c r="P203" s="16" t="str">
        <f>IF(AND(P$10&gt;=$D203,P$11&lt;=$E203),VLOOKUP($F203,$K$2:AD$8,P$1,"Falsch"),"")</f>
        <v/>
      </c>
      <c r="Q203" s="16" t="str">
        <f>IF(AND(Q$10&gt;=$D203,Q$11&lt;=$E203),VLOOKUP($F203,$K$2:AE$8,Q$1,"Falsch"),"")</f>
        <v/>
      </c>
      <c r="R203" s="16" t="str">
        <f>IF(AND(R$10&gt;=$D203,R$11&lt;=$E203),VLOOKUP($F203,$K$2:AF$8,R$1,"Falsch"),"")</f>
        <v/>
      </c>
      <c r="S203" s="16" t="str">
        <f>IF(AND(S$10&gt;=$D203,S$11&lt;=$E203),VLOOKUP($F203,$K$2:AG$8,S$1,"Falsch"),"")</f>
        <v/>
      </c>
      <c r="T203" s="16" t="str">
        <f>IF(AND(T$10&gt;=$D203,T$11&lt;=$E203),VLOOKUP($F203,$K$2:AH$8,T$1,"Falsch"),"")</f>
        <v/>
      </c>
      <c r="U203" s="16" t="str">
        <f>IF(AND(U$10&gt;=$D203,U$11&lt;=$E203),VLOOKUP($F203,$K$2:AI$8,U$1,"Falsch"),"")</f>
        <v/>
      </c>
      <c r="V203" s="16" t="str">
        <f>IF(AND(V$10&gt;=$D203,V$11&lt;=$E203),VLOOKUP($F203,$K$2:AJ$8,V$1,"Falsch"),"")</f>
        <v/>
      </c>
      <c r="W203" s="16" t="str">
        <f>IF(AND(W$10&gt;=$D203,W$11&lt;=$E203),VLOOKUP($F203,$K$2:AK$8,W$1,"Falsch"),"")</f>
        <v/>
      </c>
      <c r="X203" s="16" t="str">
        <f>IF(AND(X$10&gt;=$D203,X$11&lt;=$E203),VLOOKUP($F203,$K$2:AL$8,X$1,"Falsch"),"")</f>
        <v/>
      </c>
      <c r="Y203" s="16" t="str">
        <f>IF(AND(Y$10&gt;=$D203,Y$11&lt;=$E203),VLOOKUP($F203,$K$2:AM$8,Y$1,"Falsch"),"")</f>
        <v/>
      </c>
      <c r="Z203" s="16" t="str">
        <f>IF(AND(Z$10&gt;=$D203,Z$11&lt;=$E203),VLOOKUP($F203,$K$2:AN$8,Z$1,"Falsch"),"")</f>
        <v/>
      </c>
      <c r="AA203" s="16" t="str">
        <f>IF(AND(AA$10&gt;=$D203,AA$11&lt;=$E203),VLOOKUP($F203,$K$2:AO$8,AA$1,"Falsch"),"")</f>
        <v/>
      </c>
      <c r="AB203" s="16" t="str">
        <f>IF(AND(AB$10&gt;=$D203,AB$11&lt;=$E203),VLOOKUP($F203,$K$2:AP$8,AB$1,"Falsch"),"")</f>
        <v/>
      </c>
      <c r="AC203" s="16" t="str">
        <f>IF(AND(AC$10&gt;=$D203,AC$11&lt;=$E203),VLOOKUP($F203,$K$2:AQ$8,AC$1,"Falsch"),"")</f>
        <v/>
      </c>
      <c r="AD203" s="16" t="str">
        <f>IF(AND(AD$10&gt;=$D203,AD$11&lt;=$E203),VLOOKUP($F203,$K$2:AR$8,AD$1,"Falsch"),"")</f>
        <v/>
      </c>
    </row>
    <row r="204" spans="9:30" x14ac:dyDescent="0.25">
      <c r="I204" s="21">
        <f t="shared" si="35"/>
        <v>0</v>
      </c>
      <c r="K204" s="25">
        <f t="shared" si="34"/>
        <v>0</v>
      </c>
      <c r="L204" s="16" t="str">
        <f>IF(AND(L$10&gt;=$D204,L$11&lt;=$E204),VLOOKUP($F204,$K$2:Z$8,L$1,"Falsch"),"")</f>
        <v/>
      </c>
      <c r="M204" s="16" t="str">
        <f>IF(AND(M$10&gt;=$D204,M$11&lt;=$E204),VLOOKUP($F204,$K$2:AA$8,M$1,"Falsch"),"")</f>
        <v/>
      </c>
      <c r="N204" s="16" t="str">
        <f>IF(AND(N$10&gt;=$D204,N$11&lt;=$E204),VLOOKUP($F204,$K$2:AB$8,N$1,"Falsch"),"")</f>
        <v/>
      </c>
      <c r="O204" s="16" t="str">
        <f>IF(AND(O$10&gt;=$D204,O$11&lt;=$E204),VLOOKUP($F204,$K$2:AC$8,O$1,"Falsch"),"")</f>
        <v/>
      </c>
      <c r="P204" s="16" t="str">
        <f>IF(AND(P$10&gt;=$D204,P$11&lt;=$E204),VLOOKUP($F204,$K$2:AD$8,P$1,"Falsch"),"")</f>
        <v/>
      </c>
      <c r="Q204" s="16" t="str">
        <f>IF(AND(Q$10&gt;=$D204,Q$11&lt;=$E204),VLOOKUP($F204,$K$2:AE$8,Q$1,"Falsch"),"")</f>
        <v/>
      </c>
      <c r="R204" s="16" t="str">
        <f>IF(AND(R$10&gt;=$D204,R$11&lt;=$E204),VLOOKUP($F204,$K$2:AF$8,R$1,"Falsch"),"")</f>
        <v/>
      </c>
      <c r="S204" s="16" t="str">
        <f>IF(AND(S$10&gt;=$D204,S$11&lt;=$E204),VLOOKUP($F204,$K$2:AG$8,S$1,"Falsch"),"")</f>
        <v/>
      </c>
      <c r="T204" s="16" t="str">
        <f>IF(AND(T$10&gt;=$D204,T$11&lt;=$E204),VLOOKUP($F204,$K$2:AH$8,T$1,"Falsch"),"")</f>
        <v/>
      </c>
      <c r="U204" s="16" t="str">
        <f>IF(AND(U$10&gt;=$D204,U$11&lt;=$E204),VLOOKUP($F204,$K$2:AI$8,U$1,"Falsch"),"")</f>
        <v/>
      </c>
      <c r="V204" s="16" t="str">
        <f>IF(AND(V$10&gt;=$D204,V$11&lt;=$E204),VLOOKUP($F204,$K$2:AJ$8,V$1,"Falsch"),"")</f>
        <v/>
      </c>
      <c r="W204" s="16" t="str">
        <f>IF(AND(W$10&gt;=$D204,W$11&lt;=$E204),VLOOKUP($F204,$K$2:AK$8,W$1,"Falsch"),"")</f>
        <v/>
      </c>
      <c r="X204" s="16" t="str">
        <f>IF(AND(X$10&gt;=$D204,X$11&lt;=$E204),VLOOKUP($F204,$K$2:AL$8,X$1,"Falsch"),"")</f>
        <v/>
      </c>
      <c r="Y204" s="16" t="str">
        <f>IF(AND(Y$10&gt;=$D204,Y$11&lt;=$E204),VLOOKUP($F204,$K$2:AM$8,Y$1,"Falsch"),"")</f>
        <v/>
      </c>
      <c r="Z204" s="16" t="str">
        <f>IF(AND(Z$10&gt;=$D204,Z$11&lt;=$E204),VLOOKUP($F204,$K$2:AN$8,Z$1,"Falsch"),"")</f>
        <v/>
      </c>
      <c r="AA204" s="16" t="str">
        <f>IF(AND(AA$10&gt;=$D204,AA$11&lt;=$E204),VLOOKUP($F204,$K$2:AO$8,AA$1,"Falsch"),"")</f>
        <v/>
      </c>
      <c r="AB204" s="16" t="str">
        <f>IF(AND(AB$10&gt;=$D204,AB$11&lt;=$E204),VLOOKUP($F204,$K$2:AP$8,AB$1,"Falsch"),"")</f>
        <v/>
      </c>
      <c r="AC204" s="16" t="str">
        <f>IF(AND(AC$10&gt;=$D204,AC$11&lt;=$E204),VLOOKUP($F204,$K$2:AQ$8,AC$1,"Falsch"),"")</f>
        <v/>
      </c>
      <c r="AD204" s="16" t="str">
        <f>IF(AND(AD$10&gt;=$D204,AD$11&lt;=$E204),VLOOKUP($F204,$K$2:AR$8,AD$1,"Falsch"),"")</f>
        <v/>
      </c>
    </row>
    <row r="205" spans="9:30" x14ac:dyDescent="0.25">
      <c r="I205" s="21">
        <f t="shared" si="35"/>
        <v>0</v>
      </c>
      <c r="K205" s="25">
        <f t="shared" ref="K205:K268" si="36">SUM(L205:AD205)</f>
        <v>0</v>
      </c>
      <c r="L205" s="16" t="str">
        <f>IF(AND(L$10&gt;=$D205,L$11&lt;=$E205),VLOOKUP($F205,$K$2:Z$8,L$1,"Falsch"),"")</f>
        <v/>
      </c>
      <c r="M205" s="16" t="str">
        <f>IF(AND(M$10&gt;=$D205,M$11&lt;=$E205),VLOOKUP($F205,$K$2:AA$8,M$1,"Falsch"),"")</f>
        <v/>
      </c>
      <c r="N205" s="16" t="str">
        <f>IF(AND(N$10&gt;=$D205,N$11&lt;=$E205),VLOOKUP($F205,$K$2:AB$8,N$1,"Falsch"),"")</f>
        <v/>
      </c>
      <c r="O205" s="16" t="str">
        <f>IF(AND(O$10&gt;=$D205,O$11&lt;=$E205),VLOOKUP($F205,$K$2:AC$8,O$1,"Falsch"),"")</f>
        <v/>
      </c>
      <c r="P205" s="16" t="str">
        <f>IF(AND(P$10&gt;=$D205,P$11&lt;=$E205),VLOOKUP($F205,$K$2:AD$8,P$1,"Falsch"),"")</f>
        <v/>
      </c>
      <c r="Q205" s="16" t="str">
        <f>IF(AND(Q$10&gt;=$D205,Q$11&lt;=$E205),VLOOKUP($F205,$K$2:AE$8,Q$1,"Falsch"),"")</f>
        <v/>
      </c>
      <c r="R205" s="16" t="str">
        <f>IF(AND(R$10&gt;=$D205,R$11&lt;=$E205),VLOOKUP($F205,$K$2:AF$8,R$1,"Falsch"),"")</f>
        <v/>
      </c>
      <c r="S205" s="16" t="str">
        <f>IF(AND(S$10&gt;=$D205,S$11&lt;=$E205),VLOOKUP($F205,$K$2:AG$8,S$1,"Falsch"),"")</f>
        <v/>
      </c>
      <c r="T205" s="16" t="str">
        <f>IF(AND(T$10&gt;=$D205,T$11&lt;=$E205),VLOOKUP($F205,$K$2:AH$8,T$1,"Falsch"),"")</f>
        <v/>
      </c>
      <c r="U205" s="16" t="str">
        <f>IF(AND(U$10&gt;=$D205,U$11&lt;=$E205),VLOOKUP($F205,$K$2:AI$8,U$1,"Falsch"),"")</f>
        <v/>
      </c>
      <c r="V205" s="16" t="str">
        <f>IF(AND(V$10&gt;=$D205,V$11&lt;=$E205),VLOOKUP($F205,$K$2:AJ$8,V$1,"Falsch"),"")</f>
        <v/>
      </c>
      <c r="W205" s="16" t="str">
        <f>IF(AND(W$10&gt;=$D205,W$11&lt;=$E205),VLOOKUP($F205,$K$2:AK$8,W$1,"Falsch"),"")</f>
        <v/>
      </c>
      <c r="X205" s="16" t="str">
        <f>IF(AND(X$10&gt;=$D205,X$11&lt;=$E205),VLOOKUP($F205,$K$2:AL$8,X$1,"Falsch"),"")</f>
        <v/>
      </c>
      <c r="Y205" s="16" t="str">
        <f>IF(AND(Y$10&gt;=$D205,Y$11&lt;=$E205),VLOOKUP($F205,$K$2:AM$8,Y$1,"Falsch"),"")</f>
        <v/>
      </c>
      <c r="Z205" s="16" t="str">
        <f>IF(AND(Z$10&gt;=$D205,Z$11&lt;=$E205),VLOOKUP($F205,$K$2:AN$8,Z$1,"Falsch"),"")</f>
        <v/>
      </c>
      <c r="AA205" s="16" t="str">
        <f>IF(AND(AA$10&gt;=$D205,AA$11&lt;=$E205),VLOOKUP($F205,$K$2:AO$8,AA$1,"Falsch"),"")</f>
        <v/>
      </c>
      <c r="AB205" s="16" t="str">
        <f>IF(AND(AB$10&gt;=$D205,AB$11&lt;=$E205),VLOOKUP($F205,$K$2:AP$8,AB$1,"Falsch"),"")</f>
        <v/>
      </c>
      <c r="AC205" s="16" t="str">
        <f>IF(AND(AC$10&gt;=$D205,AC$11&lt;=$E205),VLOOKUP($F205,$K$2:AQ$8,AC$1,"Falsch"),"")</f>
        <v/>
      </c>
      <c r="AD205" s="16" t="str">
        <f>IF(AND(AD$10&gt;=$D205,AD$11&lt;=$E205),VLOOKUP($F205,$K$2:AR$8,AD$1,"Falsch"),"")</f>
        <v/>
      </c>
    </row>
    <row r="206" spans="9:30" x14ac:dyDescent="0.25">
      <c r="I206" s="21">
        <f t="shared" si="35"/>
        <v>0</v>
      </c>
      <c r="K206" s="25">
        <f t="shared" si="36"/>
        <v>0</v>
      </c>
      <c r="L206" s="16" t="str">
        <f>IF(AND(L$10&gt;=$D206,L$11&lt;=$E206),VLOOKUP($F206,$K$2:Z$8,L$1,"Falsch"),"")</f>
        <v/>
      </c>
      <c r="M206" s="16" t="str">
        <f>IF(AND(M$10&gt;=$D206,M$11&lt;=$E206),VLOOKUP($F206,$K$2:AA$8,M$1,"Falsch"),"")</f>
        <v/>
      </c>
      <c r="N206" s="16" t="str">
        <f>IF(AND(N$10&gt;=$D206,N$11&lt;=$E206),VLOOKUP($F206,$K$2:AB$8,N$1,"Falsch"),"")</f>
        <v/>
      </c>
      <c r="O206" s="16" t="str">
        <f>IF(AND(O$10&gt;=$D206,O$11&lt;=$E206),VLOOKUP($F206,$K$2:AC$8,O$1,"Falsch"),"")</f>
        <v/>
      </c>
      <c r="P206" s="16" t="str">
        <f>IF(AND(P$10&gt;=$D206,P$11&lt;=$E206),VLOOKUP($F206,$K$2:AD$8,P$1,"Falsch"),"")</f>
        <v/>
      </c>
      <c r="Q206" s="16" t="str">
        <f>IF(AND(Q$10&gt;=$D206,Q$11&lt;=$E206),VLOOKUP($F206,$K$2:AE$8,Q$1,"Falsch"),"")</f>
        <v/>
      </c>
      <c r="R206" s="16" t="str">
        <f>IF(AND(R$10&gt;=$D206,R$11&lt;=$E206),VLOOKUP($F206,$K$2:AF$8,R$1,"Falsch"),"")</f>
        <v/>
      </c>
      <c r="S206" s="16" t="str">
        <f>IF(AND(S$10&gt;=$D206,S$11&lt;=$E206),VLOOKUP($F206,$K$2:AG$8,S$1,"Falsch"),"")</f>
        <v/>
      </c>
      <c r="T206" s="16" t="str">
        <f>IF(AND(T$10&gt;=$D206,T$11&lt;=$E206),VLOOKUP($F206,$K$2:AH$8,T$1,"Falsch"),"")</f>
        <v/>
      </c>
      <c r="U206" s="16" t="str">
        <f>IF(AND(U$10&gt;=$D206,U$11&lt;=$E206),VLOOKUP($F206,$K$2:AI$8,U$1,"Falsch"),"")</f>
        <v/>
      </c>
      <c r="V206" s="16" t="str">
        <f>IF(AND(V$10&gt;=$D206,V$11&lt;=$E206),VLOOKUP($F206,$K$2:AJ$8,V$1,"Falsch"),"")</f>
        <v/>
      </c>
      <c r="W206" s="16" t="str">
        <f>IF(AND(W$10&gt;=$D206,W$11&lt;=$E206),VLOOKUP($F206,$K$2:AK$8,W$1,"Falsch"),"")</f>
        <v/>
      </c>
      <c r="X206" s="16" t="str">
        <f>IF(AND(X$10&gt;=$D206,X$11&lt;=$E206),VLOOKUP($F206,$K$2:AL$8,X$1,"Falsch"),"")</f>
        <v/>
      </c>
      <c r="Y206" s="16" t="str">
        <f>IF(AND(Y$10&gt;=$D206,Y$11&lt;=$E206),VLOOKUP($F206,$K$2:AM$8,Y$1,"Falsch"),"")</f>
        <v/>
      </c>
      <c r="Z206" s="16" t="str">
        <f>IF(AND(Z$10&gt;=$D206,Z$11&lt;=$E206),VLOOKUP($F206,$K$2:AN$8,Z$1,"Falsch"),"")</f>
        <v/>
      </c>
      <c r="AA206" s="16" t="str">
        <f>IF(AND(AA$10&gt;=$D206,AA$11&lt;=$E206),VLOOKUP($F206,$K$2:AO$8,AA$1,"Falsch"),"")</f>
        <v/>
      </c>
      <c r="AB206" s="16" t="str">
        <f>IF(AND(AB$10&gt;=$D206,AB$11&lt;=$E206),VLOOKUP($F206,$K$2:AP$8,AB$1,"Falsch"),"")</f>
        <v/>
      </c>
      <c r="AC206" s="16" t="str">
        <f>IF(AND(AC$10&gt;=$D206,AC$11&lt;=$E206),VLOOKUP($F206,$K$2:AQ$8,AC$1,"Falsch"),"")</f>
        <v/>
      </c>
      <c r="AD206" s="16" t="str">
        <f>IF(AND(AD$10&gt;=$D206,AD$11&lt;=$E206),VLOOKUP($F206,$K$2:AR$8,AD$1,"Falsch"),"")</f>
        <v/>
      </c>
    </row>
    <row r="207" spans="9:30" x14ac:dyDescent="0.25">
      <c r="I207" s="21">
        <f t="shared" si="35"/>
        <v>0</v>
      </c>
      <c r="K207" s="25">
        <f t="shared" si="36"/>
        <v>0</v>
      </c>
      <c r="L207" s="16" t="str">
        <f>IF(AND(L$10&gt;=$D207,L$11&lt;=$E207),VLOOKUP($F207,$K$2:Z$8,L$1,"Falsch"),"")</f>
        <v/>
      </c>
      <c r="M207" s="16" t="str">
        <f>IF(AND(M$10&gt;=$D207,M$11&lt;=$E207),VLOOKUP($F207,$K$2:AA$8,M$1,"Falsch"),"")</f>
        <v/>
      </c>
      <c r="N207" s="16" t="str">
        <f>IF(AND(N$10&gt;=$D207,N$11&lt;=$E207),VLOOKUP($F207,$K$2:AB$8,N$1,"Falsch"),"")</f>
        <v/>
      </c>
      <c r="O207" s="16" t="str">
        <f>IF(AND(O$10&gt;=$D207,O$11&lt;=$E207),VLOOKUP($F207,$K$2:AC$8,O$1,"Falsch"),"")</f>
        <v/>
      </c>
      <c r="P207" s="16" t="str">
        <f>IF(AND(P$10&gt;=$D207,P$11&lt;=$E207),VLOOKUP($F207,$K$2:AD$8,P$1,"Falsch"),"")</f>
        <v/>
      </c>
      <c r="Q207" s="16" t="str">
        <f>IF(AND(Q$10&gt;=$D207,Q$11&lt;=$E207),VLOOKUP($F207,$K$2:AE$8,Q$1,"Falsch"),"")</f>
        <v/>
      </c>
      <c r="R207" s="16" t="str">
        <f>IF(AND(R$10&gt;=$D207,R$11&lt;=$E207),VLOOKUP($F207,$K$2:AF$8,R$1,"Falsch"),"")</f>
        <v/>
      </c>
      <c r="S207" s="16" t="str">
        <f>IF(AND(S$10&gt;=$D207,S$11&lt;=$E207),VLOOKUP($F207,$K$2:AG$8,S$1,"Falsch"),"")</f>
        <v/>
      </c>
      <c r="T207" s="16" t="str">
        <f>IF(AND(T$10&gt;=$D207,T$11&lt;=$E207),VLOOKUP($F207,$K$2:AH$8,T$1,"Falsch"),"")</f>
        <v/>
      </c>
      <c r="U207" s="16" t="str">
        <f>IF(AND(U$10&gt;=$D207,U$11&lt;=$E207),VLOOKUP($F207,$K$2:AI$8,U$1,"Falsch"),"")</f>
        <v/>
      </c>
      <c r="V207" s="16" t="str">
        <f>IF(AND(V$10&gt;=$D207,V$11&lt;=$E207),VLOOKUP($F207,$K$2:AJ$8,V$1,"Falsch"),"")</f>
        <v/>
      </c>
      <c r="W207" s="16" t="str">
        <f>IF(AND(W$10&gt;=$D207,W$11&lt;=$E207),VLOOKUP($F207,$K$2:AK$8,W$1,"Falsch"),"")</f>
        <v/>
      </c>
      <c r="X207" s="16" t="str">
        <f>IF(AND(X$10&gt;=$D207,X$11&lt;=$E207),VLOOKUP($F207,$K$2:AL$8,X$1,"Falsch"),"")</f>
        <v/>
      </c>
      <c r="Y207" s="16" t="str">
        <f>IF(AND(Y$10&gt;=$D207,Y$11&lt;=$E207),VLOOKUP($F207,$K$2:AM$8,Y$1,"Falsch"),"")</f>
        <v/>
      </c>
      <c r="Z207" s="16" t="str">
        <f>IF(AND(Z$10&gt;=$D207,Z$11&lt;=$E207),VLOOKUP($F207,$K$2:AN$8,Z$1,"Falsch"),"")</f>
        <v/>
      </c>
      <c r="AA207" s="16" t="str">
        <f>IF(AND(AA$10&gt;=$D207,AA$11&lt;=$E207),VLOOKUP($F207,$K$2:AO$8,AA$1,"Falsch"),"")</f>
        <v/>
      </c>
      <c r="AB207" s="16" t="str">
        <f>IF(AND(AB$10&gt;=$D207,AB$11&lt;=$E207),VLOOKUP($F207,$K$2:AP$8,AB$1,"Falsch"),"")</f>
        <v/>
      </c>
      <c r="AC207" s="16" t="str">
        <f>IF(AND(AC$10&gt;=$D207,AC$11&lt;=$E207),VLOOKUP($F207,$K$2:AQ$8,AC$1,"Falsch"),"")</f>
        <v/>
      </c>
      <c r="AD207" s="16" t="str">
        <f>IF(AND(AD$10&gt;=$D207,AD$11&lt;=$E207),VLOOKUP($F207,$K$2:AR$8,AD$1,"Falsch"),"")</f>
        <v/>
      </c>
    </row>
    <row r="208" spans="9:30" x14ac:dyDescent="0.25">
      <c r="I208" s="21">
        <f t="shared" si="35"/>
        <v>0</v>
      </c>
      <c r="K208" s="25">
        <f t="shared" si="36"/>
        <v>0</v>
      </c>
      <c r="L208" s="16" t="str">
        <f>IF(AND(L$10&gt;=$D208,L$11&lt;=$E208),VLOOKUP($F208,$K$2:Z$8,L$1,"Falsch"),"")</f>
        <v/>
      </c>
      <c r="M208" s="16" t="str">
        <f>IF(AND(M$10&gt;=$D208,M$11&lt;=$E208),VLOOKUP($F208,$K$2:AA$8,M$1,"Falsch"),"")</f>
        <v/>
      </c>
      <c r="N208" s="16" t="str">
        <f>IF(AND(N$10&gt;=$D208,N$11&lt;=$E208),VLOOKUP($F208,$K$2:AB$8,N$1,"Falsch"),"")</f>
        <v/>
      </c>
      <c r="O208" s="16" t="str">
        <f>IF(AND(O$10&gt;=$D208,O$11&lt;=$E208),VLOOKUP($F208,$K$2:AC$8,O$1,"Falsch"),"")</f>
        <v/>
      </c>
      <c r="P208" s="16" t="str">
        <f>IF(AND(P$10&gt;=$D208,P$11&lt;=$E208),VLOOKUP($F208,$K$2:AD$8,P$1,"Falsch"),"")</f>
        <v/>
      </c>
      <c r="Q208" s="16" t="str">
        <f>IF(AND(Q$10&gt;=$D208,Q$11&lt;=$E208),VLOOKUP($F208,$K$2:AE$8,Q$1,"Falsch"),"")</f>
        <v/>
      </c>
      <c r="R208" s="16" t="str">
        <f>IF(AND(R$10&gt;=$D208,R$11&lt;=$E208),VLOOKUP($F208,$K$2:AF$8,R$1,"Falsch"),"")</f>
        <v/>
      </c>
      <c r="S208" s="16" t="str">
        <f>IF(AND(S$10&gt;=$D208,S$11&lt;=$E208),VLOOKUP($F208,$K$2:AG$8,S$1,"Falsch"),"")</f>
        <v/>
      </c>
      <c r="T208" s="16" t="str">
        <f>IF(AND(T$10&gt;=$D208,T$11&lt;=$E208),VLOOKUP($F208,$K$2:AH$8,T$1,"Falsch"),"")</f>
        <v/>
      </c>
      <c r="U208" s="16" t="str">
        <f>IF(AND(U$10&gt;=$D208,U$11&lt;=$E208),VLOOKUP($F208,$K$2:AI$8,U$1,"Falsch"),"")</f>
        <v/>
      </c>
      <c r="V208" s="16" t="str">
        <f>IF(AND(V$10&gt;=$D208,V$11&lt;=$E208),VLOOKUP($F208,$K$2:AJ$8,V$1,"Falsch"),"")</f>
        <v/>
      </c>
      <c r="W208" s="16" t="str">
        <f>IF(AND(W$10&gt;=$D208,W$11&lt;=$E208),VLOOKUP($F208,$K$2:AK$8,W$1,"Falsch"),"")</f>
        <v/>
      </c>
      <c r="X208" s="16" t="str">
        <f>IF(AND(X$10&gt;=$D208,X$11&lt;=$E208),VLOOKUP($F208,$K$2:AL$8,X$1,"Falsch"),"")</f>
        <v/>
      </c>
      <c r="Y208" s="16" t="str">
        <f>IF(AND(Y$10&gt;=$D208,Y$11&lt;=$E208),VLOOKUP($F208,$K$2:AM$8,Y$1,"Falsch"),"")</f>
        <v/>
      </c>
      <c r="Z208" s="16" t="str">
        <f>IF(AND(Z$10&gt;=$D208,Z$11&lt;=$E208),VLOOKUP($F208,$K$2:AN$8,Z$1,"Falsch"),"")</f>
        <v/>
      </c>
      <c r="AA208" s="16" t="str">
        <f>IF(AND(AA$10&gt;=$D208,AA$11&lt;=$E208),VLOOKUP($F208,$K$2:AO$8,AA$1,"Falsch"),"")</f>
        <v/>
      </c>
      <c r="AB208" s="16" t="str">
        <f>IF(AND(AB$10&gt;=$D208,AB$11&lt;=$E208),VLOOKUP($F208,$K$2:AP$8,AB$1,"Falsch"),"")</f>
        <v/>
      </c>
      <c r="AC208" s="16" t="str">
        <f>IF(AND(AC$10&gt;=$D208,AC$11&lt;=$E208),VLOOKUP($F208,$K$2:AQ$8,AC$1,"Falsch"),"")</f>
        <v/>
      </c>
      <c r="AD208" s="16" t="str">
        <f>IF(AND(AD$10&gt;=$D208,AD$11&lt;=$E208),VLOOKUP($F208,$K$2:AR$8,AD$1,"Falsch"),"")</f>
        <v/>
      </c>
    </row>
    <row r="209" spans="9:30" x14ac:dyDescent="0.25">
      <c r="I209" s="21">
        <f t="shared" si="35"/>
        <v>0</v>
      </c>
      <c r="K209" s="25">
        <f t="shared" si="36"/>
        <v>0</v>
      </c>
      <c r="L209" s="16" t="str">
        <f>IF(AND(L$10&gt;=$D209,L$11&lt;=$E209),VLOOKUP($F209,$K$2:Z$8,L$1,"Falsch"),"")</f>
        <v/>
      </c>
      <c r="M209" s="16" t="str">
        <f>IF(AND(M$10&gt;=$D209,M$11&lt;=$E209),VLOOKUP($F209,$K$2:AA$8,M$1,"Falsch"),"")</f>
        <v/>
      </c>
      <c r="N209" s="16" t="str">
        <f>IF(AND(N$10&gt;=$D209,N$11&lt;=$E209),VLOOKUP($F209,$K$2:AB$8,N$1,"Falsch"),"")</f>
        <v/>
      </c>
      <c r="O209" s="16" t="str">
        <f>IF(AND(O$10&gt;=$D209,O$11&lt;=$E209),VLOOKUP($F209,$K$2:AC$8,O$1,"Falsch"),"")</f>
        <v/>
      </c>
      <c r="P209" s="16" t="str">
        <f>IF(AND(P$10&gt;=$D209,P$11&lt;=$E209),VLOOKUP($F209,$K$2:AD$8,P$1,"Falsch"),"")</f>
        <v/>
      </c>
      <c r="Q209" s="16" t="str">
        <f>IF(AND(Q$10&gt;=$D209,Q$11&lt;=$E209),VLOOKUP($F209,$K$2:AE$8,Q$1,"Falsch"),"")</f>
        <v/>
      </c>
      <c r="R209" s="16" t="str">
        <f>IF(AND(R$10&gt;=$D209,R$11&lt;=$E209),VLOOKUP($F209,$K$2:AF$8,R$1,"Falsch"),"")</f>
        <v/>
      </c>
      <c r="S209" s="16" t="str">
        <f>IF(AND(S$10&gt;=$D209,S$11&lt;=$E209),VLOOKUP($F209,$K$2:AG$8,S$1,"Falsch"),"")</f>
        <v/>
      </c>
      <c r="T209" s="16" t="str">
        <f>IF(AND(T$10&gt;=$D209,T$11&lt;=$E209),VLOOKUP($F209,$K$2:AH$8,T$1,"Falsch"),"")</f>
        <v/>
      </c>
      <c r="U209" s="16" t="str">
        <f>IF(AND(U$10&gt;=$D209,U$11&lt;=$E209),VLOOKUP($F209,$K$2:AI$8,U$1,"Falsch"),"")</f>
        <v/>
      </c>
      <c r="V209" s="16" t="str">
        <f>IF(AND(V$10&gt;=$D209,V$11&lt;=$E209),VLOOKUP($F209,$K$2:AJ$8,V$1,"Falsch"),"")</f>
        <v/>
      </c>
      <c r="W209" s="16" t="str">
        <f>IF(AND(W$10&gt;=$D209,W$11&lt;=$E209),VLOOKUP($F209,$K$2:AK$8,W$1,"Falsch"),"")</f>
        <v/>
      </c>
      <c r="X209" s="16" t="str">
        <f>IF(AND(X$10&gt;=$D209,X$11&lt;=$E209),VLOOKUP($F209,$K$2:AL$8,X$1,"Falsch"),"")</f>
        <v/>
      </c>
      <c r="Y209" s="16" t="str">
        <f>IF(AND(Y$10&gt;=$D209,Y$11&lt;=$E209),VLOOKUP($F209,$K$2:AM$8,Y$1,"Falsch"),"")</f>
        <v/>
      </c>
      <c r="Z209" s="16" t="str">
        <f>IF(AND(Z$10&gt;=$D209,Z$11&lt;=$E209),VLOOKUP($F209,$K$2:AN$8,Z$1,"Falsch"),"")</f>
        <v/>
      </c>
      <c r="AA209" s="16" t="str">
        <f>IF(AND(AA$10&gt;=$D209,AA$11&lt;=$E209),VLOOKUP($F209,$K$2:AO$8,AA$1,"Falsch"),"")</f>
        <v/>
      </c>
      <c r="AB209" s="16" t="str">
        <f>IF(AND(AB$10&gt;=$D209,AB$11&lt;=$E209),VLOOKUP($F209,$K$2:AP$8,AB$1,"Falsch"),"")</f>
        <v/>
      </c>
      <c r="AC209" s="16" t="str">
        <f>IF(AND(AC$10&gt;=$D209,AC$11&lt;=$E209),VLOOKUP($F209,$K$2:AQ$8,AC$1,"Falsch"),"")</f>
        <v/>
      </c>
      <c r="AD209" s="16" t="str">
        <f>IF(AND(AD$10&gt;=$D209,AD$11&lt;=$E209),VLOOKUP($F209,$K$2:AR$8,AD$1,"Falsch"),"")</f>
        <v/>
      </c>
    </row>
    <row r="210" spans="9:30" x14ac:dyDescent="0.25">
      <c r="I210" s="21">
        <f t="shared" si="35"/>
        <v>0</v>
      </c>
      <c r="K210" s="25">
        <f t="shared" si="36"/>
        <v>0</v>
      </c>
      <c r="L210" s="16" t="str">
        <f>IF(AND(L$10&gt;=$D210,L$11&lt;=$E210),VLOOKUP($F210,$K$2:Z$8,L$1,"Falsch"),"")</f>
        <v/>
      </c>
      <c r="M210" s="16" t="str">
        <f>IF(AND(M$10&gt;=$D210,M$11&lt;=$E210),VLOOKUP($F210,$K$2:AA$8,M$1,"Falsch"),"")</f>
        <v/>
      </c>
      <c r="N210" s="16" t="str">
        <f>IF(AND(N$10&gt;=$D210,N$11&lt;=$E210),VLOOKUP($F210,$K$2:AB$8,N$1,"Falsch"),"")</f>
        <v/>
      </c>
      <c r="O210" s="16" t="str">
        <f>IF(AND(O$10&gt;=$D210,O$11&lt;=$E210),VLOOKUP($F210,$K$2:AC$8,O$1,"Falsch"),"")</f>
        <v/>
      </c>
      <c r="P210" s="16" t="str">
        <f>IF(AND(P$10&gt;=$D210,P$11&lt;=$E210),VLOOKUP($F210,$K$2:AD$8,P$1,"Falsch"),"")</f>
        <v/>
      </c>
      <c r="Q210" s="16" t="str">
        <f>IF(AND(Q$10&gt;=$D210,Q$11&lt;=$E210),VLOOKUP($F210,$K$2:AE$8,Q$1,"Falsch"),"")</f>
        <v/>
      </c>
      <c r="R210" s="16" t="str">
        <f>IF(AND(R$10&gt;=$D210,R$11&lt;=$E210),VLOOKUP($F210,$K$2:AF$8,R$1,"Falsch"),"")</f>
        <v/>
      </c>
      <c r="S210" s="16" t="str">
        <f>IF(AND(S$10&gt;=$D210,S$11&lt;=$E210),VLOOKUP($F210,$K$2:AG$8,S$1,"Falsch"),"")</f>
        <v/>
      </c>
      <c r="T210" s="16" t="str">
        <f>IF(AND(T$10&gt;=$D210,T$11&lt;=$E210),VLOOKUP($F210,$K$2:AH$8,T$1,"Falsch"),"")</f>
        <v/>
      </c>
      <c r="U210" s="16" t="str">
        <f>IF(AND(U$10&gt;=$D210,U$11&lt;=$E210),VLOOKUP($F210,$K$2:AI$8,U$1,"Falsch"),"")</f>
        <v/>
      </c>
      <c r="V210" s="16" t="str">
        <f>IF(AND(V$10&gt;=$D210,V$11&lt;=$E210),VLOOKUP($F210,$K$2:AJ$8,V$1,"Falsch"),"")</f>
        <v/>
      </c>
      <c r="W210" s="16" t="str">
        <f>IF(AND(W$10&gt;=$D210,W$11&lt;=$E210),VLOOKUP($F210,$K$2:AK$8,W$1,"Falsch"),"")</f>
        <v/>
      </c>
      <c r="X210" s="16" t="str">
        <f>IF(AND(X$10&gt;=$D210,X$11&lt;=$E210),VLOOKUP($F210,$K$2:AL$8,X$1,"Falsch"),"")</f>
        <v/>
      </c>
      <c r="Y210" s="16" t="str">
        <f>IF(AND(Y$10&gt;=$D210,Y$11&lt;=$E210),VLOOKUP($F210,$K$2:AM$8,Y$1,"Falsch"),"")</f>
        <v/>
      </c>
      <c r="Z210" s="16" t="str">
        <f>IF(AND(Z$10&gt;=$D210,Z$11&lt;=$E210),VLOOKUP($F210,$K$2:AN$8,Z$1,"Falsch"),"")</f>
        <v/>
      </c>
      <c r="AA210" s="16" t="str">
        <f>IF(AND(AA$10&gt;=$D210,AA$11&lt;=$E210),VLOOKUP($F210,$K$2:AO$8,AA$1,"Falsch"),"")</f>
        <v/>
      </c>
      <c r="AB210" s="16" t="str">
        <f>IF(AND(AB$10&gt;=$D210,AB$11&lt;=$E210),VLOOKUP($F210,$K$2:AP$8,AB$1,"Falsch"),"")</f>
        <v/>
      </c>
      <c r="AC210" s="16" t="str">
        <f>IF(AND(AC$10&gt;=$D210,AC$11&lt;=$E210),VLOOKUP($F210,$K$2:AQ$8,AC$1,"Falsch"),"")</f>
        <v/>
      </c>
      <c r="AD210" s="16" t="str">
        <f>IF(AND(AD$10&gt;=$D210,AD$11&lt;=$E210),VLOOKUP($F210,$K$2:AR$8,AD$1,"Falsch"),"")</f>
        <v/>
      </c>
    </row>
    <row r="211" spans="9:30" x14ac:dyDescent="0.25">
      <c r="I211" s="21">
        <f t="shared" si="35"/>
        <v>0</v>
      </c>
      <c r="K211" s="25">
        <f t="shared" si="36"/>
        <v>0</v>
      </c>
      <c r="L211" s="16" t="str">
        <f>IF(AND(L$10&gt;=$D211,L$11&lt;=$E211),VLOOKUP($F211,$K$2:Z$8,L$1,"Falsch"),"")</f>
        <v/>
      </c>
      <c r="M211" s="16" t="str">
        <f>IF(AND(M$10&gt;=$D211,M$11&lt;=$E211),VLOOKUP($F211,$K$2:AA$8,M$1,"Falsch"),"")</f>
        <v/>
      </c>
      <c r="N211" s="16" t="str">
        <f>IF(AND(N$10&gt;=$D211,N$11&lt;=$E211),VLOOKUP($F211,$K$2:AB$8,N$1,"Falsch"),"")</f>
        <v/>
      </c>
      <c r="O211" s="16" t="str">
        <f>IF(AND(O$10&gt;=$D211,O$11&lt;=$E211),VLOOKUP($F211,$K$2:AC$8,O$1,"Falsch"),"")</f>
        <v/>
      </c>
      <c r="P211" s="16" t="str">
        <f>IF(AND(P$10&gt;=$D211,P$11&lt;=$E211),VLOOKUP($F211,$K$2:AD$8,P$1,"Falsch"),"")</f>
        <v/>
      </c>
      <c r="Q211" s="16" t="str">
        <f>IF(AND(Q$10&gt;=$D211,Q$11&lt;=$E211),VLOOKUP($F211,$K$2:AE$8,Q$1,"Falsch"),"")</f>
        <v/>
      </c>
      <c r="R211" s="16" t="str">
        <f>IF(AND(R$10&gt;=$D211,R$11&lt;=$E211),VLOOKUP($F211,$K$2:AF$8,R$1,"Falsch"),"")</f>
        <v/>
      </c>
      <c r="S211" s="16" t="str">
        <f>IF(AND(S$10&gt;=$D211,S$11&lt;=$E211),VLOOKUP($F211,$K$2:AG$8,S$1,"Falsch"),"")</f>
        <v/>
      </c>
      <c r="T211" s="16" t="str">
        <f>IF(AND(T$10&gt;=$D211,T$11&lt;=$E211),VLOOKUP($F211,$K$2:AH$8,T$1,"Falsch"),"")</f>
        <v/>
      </c>
      <c r="U211" s="16" t="str">
        <f>IF(AND(U$10&gt;=$D211,U$11&lt;=$E211),VLOOKUP($F211,$K$2:AI$8,U$1,"Falsch"),"")</f>
        <v/>
      </c>
      <c r="V211" s="16" t="str">
        <f>IF(AND(V$10&gt;=$D211,V$11&lt;=$E211),VLOOKUP($F211,$K$2:AJ$8,V$1,"Falsch"),"")</f>
        <v/>
      </c>
      <c r="W211" s="16" t="str">
        <f>IF(AND(W$10&gt;=$D211,W$11&lt;=$E211),VLOOKUP($F211,$K$2:AK$8,W$1,"Falsch"),"")</f>
        <v/>
      </c>
      <c r="X211" s="16" t="str">
        <f>IF(AND(X$10&gt;=$D211,X$11&lt;=$E211),VLOOKUP($F211,$K$2:AL$8,X$1,"Falsch"),"")</f>
        <v/>
      </c>
      <c r="Y211" s="16" t="str">
        <f>IF(AND(Y$10&gt;=$D211,Y$11&lt;=$E211),VLOOKUP($F211,$K$2:AM$8,Y$1,"Falsch"),"")</f>
        <v/>
      </c>
      <c r="Z211" s="16" t="str">
        <f>IF(AND(Z$10&gt;=$D211,Z$11&lt;=$E211),VLOOKUP($F211,$K$2:AN$8,Z$1,"Falsch"),"")</f>
        <v/>
      </c>
      <c r="AA211" s="16" t="str">
        <f>IF(AND(AA$10&gt;=$D211,AA$11&lt;=$E211),VLOOKUP($F211,$K$2:AO$8,AA$1,"Falsch"),"")</f>
        <v/>
      </c>
      <c r="AB211" s="16" t="str">
        <f>IF(AND(AB$10&gt;=$D211,AB$11&lt;=$E211),VLOOKUP($F211,$K$2:AP$8,AB$1,"Falsch"),"")</f>
        <v/>
      </c>
      <c r="AC211" s="16" t="str">
        <f>IF(AND(AC$10&gt;=$D211,AC$11&lt;=$E211),VLOOKUP($F211,$K$2:AQ$8,AC$1,"Falsch"),"")</f>
        <v/>
      </c>
      <c r="AD211" s="16" t="str">
        <f>IF(AND(AD$10&gt;=$D211,AD$11&lt;=$E211),VLOOKUP($F211,$K$2:AR$8,AD$1,"Falsch"),"")</f>
        <v/>
      </c>
    </row>
    <row r="212" spans="9:30" x14ac:dyDescent="0.25">
      <c r="I212" s="21">
        <f t="shared" si="35"/>
        <v>0</v>
      </c>
      <c r="K212" s="25">
        <f t="shared" si="36"/>
        <v>0</v>
      </c>
      <c r="L212" s="16" t="str">
        <f>IF(AND(L$10&gt;=$D212,L$11&lt;=$E212),VLOOKUP($F212,$K$2:Z$8,L$1,"Falsch"),"")</f>
        <v/>
      </c>
      <c r="M212" s="16" t="str">
        <f>IF(AND(M$10&gt;=$D212,M$11&lt;=$E212),VLOOKUP($F212,$K$2:AA$8,M$1,"Falsch"),"")</f>
        <v/>
      </c>
      <c r="N212" s="16" t="str">
        <f>IF(AND(N$10&gt;=$D212,N$11&lt;=$E212),VLOOKUP($F212,$K$2:AB$8,N$1,"Falsch"),"")</f>
        <v/>
      </c>
      <c r="O212" s="16" t="str">
        <f>IF(AND(O$10&gt;=$D212,O$11&lt;=$E212),VLOOKUP($F212,$K$2:AC$8,O$1,"Falsch"),"")</f>
        <v/>
      </c>
      <c r="P212" s="16" t="str">
        <f>IF(AND(P$10&gt;=$D212,P$11&lt;=$E212),VLOOKUP($F212,$K$2:AD$8,P$1,"Falsch"),"")</f>
        <v/>
      </c>
      <c r="Q212" s="16" t="str">
        <f>IF(AND(Q$10&gt;=$D212,Q$11&lt;=$E212),VLOOKUP($F212,$K$2:AE$8,Q$1,"Falsch"),"")</f>
        <v/>
      </c>
      <c r="R212" s="16" t="str">
        <f>IF(AND(R$10&gt;=$D212,R$11&lt;=$E212),VLOOKUP($F212,$K$2:AF$8,R$1,"Falsch"),"")</f>
        <v/>
      </c>
      <c r="S212" s="16" t="str">
        <f>IF(AND(S$10&gt;=$D212,S$11&lt;=$E212),VLOOKUP($F212,$K$2:AG$8,S$1,"Falsch"),"")</f>
        <v/>
      </c>
      <c r="T212" s="16" t="str">
        <f>IF(AND(T$10&gt;=$D212,T$11&lt;=$E212),VLOOKUP($F212,$K$2:AH$8,T$1,"Falsch"),"")</f>
        <v/>
      </c>
      <c r="U212" s="16" t="str">
        <f>IF(AND(U$10&gt;=$D212,U$11&lt;=$E212),VLOOKUP($F212,$K$2:AI$8,U$1,"Falsch"),"")</f>
        <v/>
      </c>
      <c r="V212" s="16" t="str">
        <f>IF(AND(V$10&gt;=$D212,V$11&lt;=$E212),VLOOKUP($F212,$K$2:AJ$8,V$1,"Falsch"),"")</f>
        <v/>
      </c>
      <c r="W212" s="16" t="str">
        <f>IF(AND(W$10&gt;=$D212,W$11&lt;=$E212),VLOOKUP($F212,$K$2:AK$8,W$1,"Falsch"),"")</f>
        <v/>
      </c>
      <c r="X212" s="16" t="str">
        <f>IF(AND(X$10&gt;=$D212,X$11&lt;=$E212),VLOOKUP($F212,$K$2:AL$8,X$1,"Falsch"),"")</f>
        <v/>
      </c>
      <c r="Y212" s="16" t="str">
        <f>IF(AND(Y$10&gt;=$D212,Y$11&lt;=$E212),VLOOKUP($F212,$K$2:AM$8,Y$1,"Falsch"),"")</f>
        <v/>
      </c>
      <c r="Z212" s="16" t="str">
        <f>IF(AND(Z$10&gt;=$D212,Z$11&lt;=$E212),VLOOKUP($F212,$K$2:AN$8,Z$1,"Falsch"),"")</f>
        <v/>
      </c>
      <c r="AA212" s="16" t="str">
        <f>IF(AND(AA$10&gt;=$D212,AA$11&lt;=$E212),VLOOKUP($F212,$K$2:AO$8,AA$1,"Falsch"),"")</f>
        <v/>
      </c>
      <c r="AB212" s="16" t="str">
        <f>IF(AND(AB$10&gt;=$D212,AB$11&lt;=$E212),VLOOKUP($F212,$K$2:AP$8,AB$1,"Falsch"),"")</f>
        <v/>
      </c>
      <c r="AC212" s="16" t="str">
        <f>IF(AND(AC$10&gt;=$D212,AC$11&lt;=$E212),VLOOKUP($F212,$K$2:AQ$8,AC$1,"Falsch"),"")</f>
        <v/>
      </c>
      <c r="AD212" s="16" t="str">
        <f>IF(AND(AD$10&gt;=$D212,AD$11&lt;=$E212),VLOOKUP($F212,$K$2:AR$8,AD$1,"Falsch"),"")</f>
        <v/>
      </c>
    </row>
    <row r="213" spans="9:30" x14ac:dyDescent="0.25">
      <c r="I213" s="21">
        <f t="shared" si="35"/>
        <v>0</v>
      </c>
      <c r="K213" s="25">
        <f t="shared" si="36"/>
        <v>0</v>
      </c>
      <c r="L213" s="16" t="str">
        <f>IF(AND(L$10&gt;=$D213,L$11&lt;=$E213),VLOOKUP($F213,$K$2:Z$8,L$1,"Falsch"),"")</f>
        <v/>
      </c>
      <c r="M213" s="16" t="str">
        <f>IF(AND(M$10&gt;=$D213,M$11&lt;=$E213),VLOOKUP($F213,$K$2:AA$8,M$1,"Falsch"),"")</f>
        <v/>
      </c>
      <c r="N213" s="16" t="str">
        <f>IF(AND(N$10&gt;=$D213,N$11&lt;=$E213),VLOOKUP($F213,$K$2:AB$8,N$1,"Falsch"),"")</f>
        <v/>
      </c>
      <c r="O213" s="16" t="str">
        <f>IF(AND(O$10&gt;=$D213,O$11&lt;=$E213),VLOOKUP($F213,$K$2:AC$8,O$1,"Falsch"),"")</f>
        <v/>
      </c>
      <c r="P213" s="16" t="str">
        <f>IF(AND(P$10&gt;=$D213,P$11&lt;=$E213),VLOOKUP($F213,$K$2:AD$8,P$1,"Falsch"),"")</f>
        <v/>
      </c>
      <c r="Q213" s="16" t="str">
        <f>IF(AND(Q$10&gt;=$D213,Q$11&lt;=$E213),VLOOKUP($F213,$K$2:AE$8,Q$1,"Falsch"),"")</f>
        <v/>
      </c>
      <c r="R213" s="16" t="str">
        <f>IF(AND(R$10&gt;=$D213,R$11&lt;=$E213),VLOOKUP($F213,$K$2:AF$8,R$1,"Falsch"),"")</f>
        <v/>
      </c>
      <c r="S213" s="16" t="str">
        <f>IF(AND(S$10&gt;=$D213,S$11&lt;=$E213),VLOOKUP($F213,$K$2:AG$8,S$1,"Falsch"),"")</f>
        <v/>
      </c>
      <c r="T213" s="16" t="str">
        <f>IF(AND(T$10&gt;=$D213,T$11&lt;=$E213),VLOOKUP($F213,$K$2:AH$8,T$1,"Falsch"),"")</f>
        <v/>
      </c>
      <c r="U213" s="16" t="str">
        <f>IF(AND(U$10&gt;=$D213,U$11&lt;=$E213),VLOOKUP($F213,$K$2:AI$8,U$1,"Falsch"),"")</f>
        <v/>
      </c>
      <c r="V213" s="16" t="str">
        <f>IF(AND(V$10&gt;=$D213,V$11&lt;=$E213),VLOOKUP($F213,$K$2:AJ$8,V$1,"Falsch"),"")</f>
        <v/>
      </c>
      <c r="W213" s="16" t="str">
        <f>IF(AND(W$10&gt;=$D213,W$11&lt;=$E213),VLOOKUP($F213,$K$2:AK$8,W$1,"Falsch"),"")</f>
        <v/>
      </c>
      <c r="X213" s="16" t="str">
        <f>IF(AND(X$10&gt;=$D213,X$11&lt;=$E213),VLOOKUP($F213,$K$2:AL$8,X$1,"Falsch"),"")</f>
        <v/>
      </c>
      <c r="Y213" s="16" t="str">
        <f>IF(AND(Y$10&gt;=$D213,Y$11&lt;=$E213),VLOOKUP($F213,$K$2:AM$8,Y$1,"Falsch"),"")</f>
        <v/>
      </c>
      <c r="Z213" s="16" t="str">
        <f>IF(AND(Z$10&gt;=$D213,Z$11&lt;=$E213),VLOOKUP($F213,$K$2:AN$8,Z$1,"Falsch"),"")</f>
        <v/>
      </c>
      <c r="AA213" s="16" t="str">
        <f>IF(AND(AA$10&gt;=$D213,AA$11&lt;=$E213),VLOOKUP($F213,$K$2:AO$8,AA$1,"Falsch"),"")</f>
        <v/>
      </c>
      <c r="AB213" s="16" t="str">
        <f>IF(AND(AB$10&gt;=$D213,AB$11&lt;=$E213),VLOOKUP($F213,$K$2:AP$8,AB$1,"Falsch"),"")</f>
        <v/>
      </c>
      <c r="AC213" s="16" t="str">
        <f>IF(AND(AC$10&gt;=$D213,AC$11&lt;=$E213),VLOOKUP($F213,$K$2:AQ$8,AC$1,"Falsch"),"")</f>
        <v/>
      </c>
      <c r="AD213" s="16" t="str">
        <f>IF(AND(AD$10&gt;=$D213,AD$11&lt;=$E213),VLOOKUP($F213,$K$2:AR$8,AD$1,"Falsch"),"")</f>
        <v/>
      </c>
    </row>
    <row r="214" spans="9:30" x14ac:dyDescent="0.25">
      <c r="I214" s="21">
        <f t="shared" si="35"/>
        <v>0</v>
      </c>
      <c r="K214" s="25">
        <f t="shared" si="36"/>
        <v>0</v>
      </c>
      <c r="L214" s="16" t="str">
        <f>IF(AND(L$10&gt;=$D214,L$11&lt;=$E214),VLOOKUP($F214,$K$2:Z$8,L$1,"Falsch"),"")</f>
        <v/>
      </c>
      <c r="M214" s="16" t="str">
        <f>IF(AND(M$10&gt;=$D214,M$11&lt;=$E214),VLOOKUP($F214,$K$2:AA$8,M$1,"Falsch"),"")</f>
        <v/>
      </c>
      <c r="N214" s="16" t="str">
        <f>IF(AND(N$10&gt;=$D214,N$11&lt;=$E214),VLOOKUP($F214,$K$2:AB$8,N$1,"Falsch"),"")</f>
        <v/>
      </c>
      <c r="O214" s="16" t="str">
        <f>IF(AND(O$10&gt;=$D214,O$11&lt;=$E214),VLOOKUP($F214,$K$2:AC$8,O$1,"Falsch"),"")</f>
        <v/>
      </c>
      <c r="P214" s="16" t="str">
        <f>IF(AND(P$10&gt;=$D214,P$11&lt;=$E214),VLOOKUP($F214,$K$2:AD$8,P$1,"Falsch"),"")</f>
        <v/>
      </c>
      <c r="Q214" s="16" t="str">
        <f>IF(AND(Q$10&gt;=$D214,Q$11&lt;=$E214),VLOOKUP($F214,$K$2:AE$8,Q$1,"Falsch"),"")</f>
        <v/>
      </c>
      <c r="R214" s="16" t="str">
        <f>IF(AND(R$10&gt;=$D214,R$11&lt;=$E214),VLOOKUP($F214,$K$2:AF$8,R$1,"Falsch"),"")</f>
        <v/>
      </c>
      <c r="S214" s="16" t="str">
        <f>IF(AND(S$10&gt;=$D214,S$11&lt;=$E214),VLOOKUP($F214,$K$2:AG$8,S$1,"Falsch"),"")</f>
        <v/>
      </c>
      <c r="T214" s="16" t="str">
        <f>IF(AND(T$10&gt;=$D214,T$11&lt;=$E214),VLOOKUP($F214,$K$2:AH$8,T$1,"Falsch"),"")</f>
        <v/>
      </c>
      <c r="U214" s="16" t="str">
        <f>IF(AND(U$10&gt;=$D214,U$11&lt;=$E214),VLOOKUP($F214,$K$2:AI$8,U$1,"Falsch"),"")</f>
        <v/>
      </c>
      <c r="V214" s="16" t="str">
        <f>IF(AND(V$10&gt;=$D214,V$11&lt;=$E214),VLOOKUP($F214,$K$2:AJ$8,V$1,"Falsch"),"")</f>
        <v/>
      </c>
      <c r="W214" s="16" t="str">
        <f>IF(AND(W$10&gt;=$D214,W$11&lt;=$E214),VLOOKUP($F214,$K$2:AK$8,W$1,"Falsch"),"")</f>
        <v/>
      </c>
      <c r="X214" s="16" t="str">
        <f>IF(AND(X$10&gt;=$D214,X$11&lt;=$E214),VLOOKUP($F214,$K$2:AL$8,X$1,"Falsch"),"")</f>
        <v/>
      </c>
      <c r="Y214" s="16" t="str">
        <f>IF(AND(Y$10&gt;=$D214,Y$11&lt;=$E214),VLOOKUP($F214,$K$2:AM$8,Y$1,"Falsch"),"")</f>
        <v/>
      </c>
      <c r="Z214" s="16" t="str">
        <f>IF(AND(Z$10&gt;=$D214,Z$11&lt;=$E214),VLOOKUP($F214,$K$2:AN$8,Z$1,"Falsch"),"")</f>
        <v/>
      </c>
      <c r="AA214" s="16" t="str">
        <f>IF(AND(AA$10&gt;=$D214,AA$11&lt;=$E214),VLOOKUP($F214,$K$2:AO$8,AA$1,"Falsch"),"")</f>
        <v/>
      </c>
      <c r="AB214" s="16" t="str">
        <f>IF(AND(AB$10&gt;=$D214,AB$11&lt;=$E214),VLOOKUP($F214,$K$2:AP$8,AB$1,"Falsch"),"")</f>
        <v/>
      </c>
      <c r="AC214" s="16" t="str">
        <f>IF(AND(AC$10&gt;=$D214,AC$11&lt;=$E214),VLOOKUP($F214,$K$2:AQ$8,AC$1,"Falsch"),"")</f>
        <v/>
      </c>
      <c r="AD214" s="16" t="str">
        <f>IF(AND(AD$10&gt;=$D214,AD$11&lt;=$E214),VLOOKUP($F214,$K$2:AR$8,AD$1,"Falsch"),"")</f>
        <v/>
      </c>
    </row>
    <row r="215" spans="9:30" x14ac:dyDescent="0.25">
      <c r="I215" s="21">
        <f t="shared" si="35"/>
        <v>0</v>
      </c>
      <c r="K215" s="25">
        <f t="shared" si="36"/>
        <v>0</v>
      </c>
      <c r="L215" s="16" t="str">
        <f>IF(AND(L$10&gt;=$D215,L$11&lt;=$E215),VLOOKUP($F215,$K$2:Z$8,L$1,"Falsch"),"")</f>
        <v/>
      </c>
      <c r="M215" s="16" t="str">
        <f>IF(AND(M$10&gt;=$D215,M$11&lt;=$E215),VLOOKUP($F215,$K$2:AA$8,M$1,"Falsch"),"")</f>
        <v/>
      </c>
      <c r="N215" s="16" t="str">
        <f>IF(AND(N$10&gt;=$D215,N$11&lt;=$E215),VLOOKUP($F215,$K$2:AB$8,N$1,"Falsch"),"")</f>
        <v/>
      </c>
      <c r="O215" s="16" t="str">
        <f>IF(AND(O$10&gt;=$D215,O$11&lt;=$E215),VLOOKUP($F215,$K$2:AC$8,O$1,"Falsch"),"")</f>
        <v/>
      </c>
      <c r="P215" s="16" t="str">
        <f>IF(AND(P$10&gt;=$D215,P$11&lt;=$E215),VLOOKUP($F215,$K$2:AD$8,P$1,"Falsch"),"")</f>
        <v/>
      </c>
      <c r="Q215" s="16" t="str">
        <f>IF(AND(Q$10&gt;=$D215,Q$11&lt;=$E215),VLOOKUP($F215,$K$2:AE$8,Q$1,"Falsch"),"")</f>
        <v/>
      </c>
      <c r="R215" s="16" t="str">
        <f>IF(AND(R$10&gt;=$D215,R$11&lt;=$E215),VLOOKUP($F215,$K$2:AF$8,R$1,"Falsch"),"")</f>
        <v/>
      </c>
      <c r="S215" s="16" t="str">
        <f>IF(AND(S$10&gt;=$D215,S$11&lt;=$E215),VLOOKUP($F215,$K$2:AG$8,S$1,"Falsch"),"")</f>
        <v/>
      </c>
      <c r="T215" s="16" t="str">
        <f>IF(AND(T$10&gt;=$D215,T$11&lt;=$E215),VLOOKUP($F215,$K$2:AH$8,T$1,"Falsch"),"")</f>
        <v/>
      </c>
      <c r="U215" s="16" t="str">
        <f>IF(AND(U$10&gt;=$D215,U$11&lt;=$E215),VLOOKUP($F215,$K$2:AI$8,U$1,"Falsch"),"")</f>
        <v/>
      </c>
      <c r="V215" s="16" t="str">
        <f>IF(AND(V$10&gt;=$D215,V$11&lt;=$E215),VLOOKUP($F215,$K$2:AJ$8,V$1,"Falsch"),"")</f>
        <v/>
      </c>
      <c r="W215" s="16" t="str">
        <f>IF(AND(W$10&gt;=$D215,W$11&lt;=$E215),VLOOKUP($F215,$K$2:AK$8,W$1,"Falsch"),"")</f>
        <v/>
      </c>
      <c r="X215" s="16" t="str">
        <f>IF(AND(X$10&gt;=$D215,X$11&lt;=$E215),VLOOKUP($F215,$K$2:AL$8,X$1,"Falsch"),"")</f>
        <v/>
      </c>
      <c r="Y215" s="16" t="str">
        <f>IF(AND(Y$10&gt;=$D215,Y$11&lt;=$E215),VLOOKUP($F215,$K$2:AM$8,Y$1,"Falsch"),"")</f>
        <v/>
      </c>
      <c r="Z215" s="16" t="str">
        <f>IF(AND(Z$10&gt;=$D215,Z$11&lt;=$E215),VLOOKUP($F215,$K$2:AN$8,Z$1,"Falsch"),"")</f>
        <v/>
      </c>
      <c r="AA215" s="16" t="str">
        <f>IF(AND(AA$10&gt;=$D215,AA$11&lt;=$E215),VLOOKUP($F215,$K$2:AO$8,AA$1,"Falsch"),"")</f>
        <v/>
      </c>
      <c r="AB215" s="16" t="str">
        <f>IF(AND(AB$10&gt;=$D215,AB$11&lt;=$E215),VLOOKUP($F215,$K$2:AP$8,AB$1,"Falsch"),"")</f>
        <v/>
      </c>
      <c r="AC215" s="16" t="str">
        <f>IF(AND(AC$10&gt;=$D215,AC$11&lt;=$E215),VLOOKUP($F215,$K$2:AQ$8,AC$1,"Falsch"),"")</f>
        <v/>
      </c>
      <c r="AD215" s="16" t="str">
        <f>IF(AND(AD$10&gt;=$D215,AD$11&lt;=$E215),VLOOKUP($F215,$K$2:AR$8,AD$1,"Falsch"),"")</f>
        <v/>
      </c>
    </row>
    <row r="216" spans="9:30" x14ac:dyDescent="0.25">
      <c r="I216" s="21">
        <f t="shared" ref="I216:I279" si="37">E216-D216</f>
        <v>0</v>
      </c>
      <c r="K216" s="25">
        <f t="shared" si="36"/>
        <v>0</v>
      </c>
      <c r="L216" s="16" t="str">
        <f>IF(AND(L$10&gt;=$D216,L$11&lt;=$E216),VLOOKUP($F216,$K$2:Z$8,L$1,"Falsch"),"")</f>
        <v/>
      </c>
      <c r="M216" s="16" t="str">
        <f>IF(AND(M$10&gt;=$D216,M$11&lt;=$E216),VLOOKUP($F216,$K$2:AA$8,M$1,"Falsch"),"")</f>
        <v/>
      </c>
      <c r="N216" s="16" t="str">
        <f>IF(AND(N$10&gt;=$D216,N$11&lt;=$E216),VLOOKUP($F216,$K$2:AB$8,N$1,"Falsch"),"")</f>
        <v/>
      </c>
      <c r="O216" s="16" t="str">
        <f>IF(AND(O$10&gt;=$D216,O$11&lt;=$E216),VLOOKUP($F216,$K$2:AC$8,O$1,"Falsch"),"")</f>
        <v/>
      </c>
      <c r="P216" s="16" t="str">
        <f>IF(AND(P$10&gt;=$D216,P$11&lt;=$E216),VLOOKUP($F216,$K$2:AD$8,P$1,"Falsch"),"")</f>
        <v/>
      </c>
      <c r="Q216" s="16" t="str">
        <f>IF(AND(Q$10&gt;=$D216,Q$11&lt;=$E216),VLOOKUP($F216,$K$2:AE$8,Q$1,"Falsch"),"")</f>
        <v/>
      </c>
      <c r="R216" s="16" t="str">
        <f>IF(AND(R$10&gt;=$D216,R$11&lt;=$E216),VLOOKUP($F216,$K$2:AF$8,R$1,"Falsch"),"")</f>
        <v/>
      </c>
      <c r="S216" s="16" t="str">
        <f>IF(AND(S$10&gt;=$D216,S$11&lt;=$E216),VLOOKUP($F216,$K$2:AG$8,S$1,"Falsch"),"")</f>
        <v/>
      </c>
      <c r="T216" s="16" t="str">
        <f>IF(AND(T$10&gt;=$D216,T$11&lt;=$E216),VLOOKUP($F216,$K$2:AH$8,T$1,"Falsch"),"")</f>
        <v/>
      </c>
      <c r="U216" s="16" t="str">
        <f>IF(AND(U$10&gt;=$D216,U$11&lt;=$E216),VLOOKUP($F216,$K$2:AI$8,U$1,"Falsch"),"")</f>
        <v/>
      </c>
      <c r="V216" s="16" t="str">
        <f>IF(AND(V$10&gt;=$D216,V$11&lt;=$E216),VLOOKUP($F216,$K$2:AJ$8,V$1,"Falsch"),"")</f>
        <v/>
      </c>
      <c r="W216" s="16" t="str">
        <f>IF(AND(W$10&gt;=$D216,W$11&lt;=$E216),VLOOKUP($F216,$K$2:AK$8,W$1,"Falsch"),"")</f>
        <v/>
      </c>
      <c r="X216" s="16" t="str">
        <f>IF(AND(X$10&gt;=$D216,X$11&lt;=$E216),VLOOKUP($F216,$K$2:AL$8,X$1,"Falsch"),"")</f>
        <v/>
      </c>
      <c r="Y216" s="16" t="str">
        <f>IF(AND(Y$10&gt;=$D216,Y$11&lt;=$E216),VLOOKUP($F216,$K$2:AM$8,Y$1,"Falsch"),"")</f>
        <v/>
      </c>
      <c r="Z216" s="16" t="str">
        <f>IF(AND(Z$10&gt;=$D216,Z$11&lt;=$E216),VLOOKUP($F216,$K$2:AN$8,Z$1,"Falsch"),"")</f>
        <v/>
      </c>
      <c r="AA216" s="16" t="str">
        <f>IF(AND(AA$10&gt;=$D216,AA$11&lt;=$E216),VLOOKUP($F216,$K$2:AO$8,AA$1,"Falsch"),"")</f>
        <v/>
      </c>
      <c r="AB216" s="16" t="str">
        <f>IF(AND(AB$10&gt;=$D216,AB$11&lt;=$E216),VLOOKUP($F216,$K$2:AP$8,AB$1,"Falsch"),"")</f>
        <v/>
      </c>
      <c r="AC216" s="16" t="str">
        <f>IF(AND(AC$10&gt;=$D216,AC$11&lt;=$E216),VLOOKUP($F216,$K$2:AQ$8,AC$1,"Falsch"),"")</f>
        <v/>
      </c>
      <c r="AD216" s="16" t="str">
        <f>IF(AND(AD$10&gt;=$D216,AD$11&lt;=$E216),VLOOKUP($F216,$K$2:AR$8,AD$1,"Falsch"),"")</f>
        <v/>
      </c>
    </row>
    <row r="217" spans="9:30" x14ac:dyDescent="0.25">
      <c r="I217" s="21">
        <f t="shared" si="37"/>
        <v>0</v>
      </c>
      <c r="K217" s="25">
        <f t="shared" si="36"/>
        <v>0</v>
      </c>
      <c r="L217" s="16" t="str">
        <f>IF(AND(L$10&gt;=$D217,L$11&lt;=$E217),VLOOKUP($F217,$K$2:Z$8,L$1,"Falsch"),"")</f>
        <v/>
      </c>
      <c r="M217" s="16" t="str">
        <f>IF(AND(M$10&gt;=$D217,M$11&lt;=$E217),VLOOKUP($F217,$K$2:AA$8,M$1,"Falsch"),"")</f>
        <v/>
      </c>
      <c r="N217" s="16" t="str">
        <f>IF(AND(N$10&gt;=$D217,N$11&lt;=$E217),VLOOKUP($F217,$K$2:AB$8,N$1,"Falsch"),"")</f>
        <v/>
      </c>
      <c r="O217" s="16" t="str">
        <f>IF(AND(O$10&gt;=$D217,O$11&lt;=$E217),VLOOKUP($F217,$K$2:AC$8,O$1,"Falsch"),"")</f>
        <v/>
      </c>
      <c r="P217" s="16" t="str">
        <f>IF(AND(P$10&gt;=$D217,P$11&lt;=$E217),VLOOKUP($F217,$K$2:AD$8,P$1,"Falsch"),"")</f>
        <v/>
      </c>
      <c r="Q217" s="16" t="str">
        <f>IF(AND(Q$10&gt;=$D217,Q$11&lt;=$E217),VLOOKUP($F217,$K$2:AE$8,Q$1,"Falsch"),"")</f>
        <v/>
      </c>
      <c r="R217" s="16" t="str">
        <f>IF(AND(R$10&gt;=$D217,R$11&lt;=$E217),VLOOKUP($F217,$K$2:AF$8,R$1,"Falsch"),"")</f>
        <v/>
      </c>
      <c r="S217" s="16" t="str">
        <f>IF(AND(S$10&gt;=$D217,S$11&lt;=$E217),VLOOKUP($F217,$K$2:AG$8,S$1,"Falsch"),"")</f>
        <v/>
      </c>
      <c r="T217" s="16" t="str">
        <f>IF(AND(T$10&gt;=$D217,T$11&lt;=$E217),VLOOKUP($F217,$K$2:AH$8,T$1,"Falsch"),"")</f>
        <v/>
      </c>
      <c r="U217" s="16" t="str">
        <f>IF(AND(U$10&gt;=$D217,U$11&lt;=$E217),VLOOKUP($F217,$K$2:AI$8,U$1,"Falsch"),"")</f>
        <v/>
      </c>
      <c r="V217" s="16" t="str">
        <f>IF(AND(V$10&gt;=$D217,V$11&lt;=$E217),VLOOKUP($F217,$K$2:AJ$8,V$1,"Falsch"),"")</f>
        <v/>
      </c>
      <c r="W217" s="16" t="str">
        <f>IF(AND(W$10&gt;=$D217,W$11&lt;=$E217),VLOOKUP($F217,$K$2:AK$8,W$1,"Falsch"),"")</f>
        <v/>
      </c>
      <c r="X217" s="16" t="str">
        <f>IF(AND(X$10&gt;=$D217,X$11&lt;=$E217),VLOOKUP($F217,$K$2:AL$8,X$1,"Falsch"),"")</f>
        <v/>
      </c>
      <c r="Y217" s="16" t="str">
        <f>IF(AND(Y$10&gt;=$D217,Y$11&lt;=$E217),VLOOKUP($F217,$K$2:AM$8,Y$1,"Falsch"),"")</f>
        <v/>
      </c>
      <c r="Z217" s="16" t="str">
        <f>IF(AND(Z$10&gt;=$D217,Z$11&lt;=$E217),VLOOKUP($F217,$K$2:AN$8,Z$1,"Falsch"),"")</f>
        <v/>
      </c>
      <c r="AA217" s="16" t="str">
        <f>IF(AND(AA$10&gt;=$D217,AA$11&lt;=$E217),VLOOKUP($F217,$K$2:AO$8,AA$1,"Falsch"),"")</f>
        <v/>
      </c>
      <c r="AB217" s="16" t="str">
        <f>IF(AND(AB$10&gt;=$D217,AB$11&lt;=$E217),VLOOKUP($F217,$K$2:AP$8,AB$1,"Falsch"),"")</f>
        <v/>
      </c>
      <c r="AC217" s="16" t="str">
        <f>IF(AND(AC$10&gt;=$D217,AC$11&lt;=$E217),VLOOKUP($F217,$K$2:AQ$8,AC$1,"Falsch"),"")</f>
        <v/>
      </c>
      <c r="AD217" s="16" t="str">
        <f>IF(AND(AD$10&gt;=$D217,AD$11&lt;=$E217),VLOOKUP($F217,$K$2:AR$8,AD$1,"Falsch"),"")</f>
        <v/>
      </c>
    </row>
    <row r="218" spans="9:30" x14ac:dyDescent="0.25">
      <c r="I218" s="21">
        <f t="shared" si="37"/>
        <v>0</v>
      </c>
      <c r="K218" s="25">
        <f t="shared" si="36"/>
        <v>0</v>
      </c>
      <c r="L218" s="16" t="str">
        <f>IF(AND(L$10&gt;=$D218,L$11&lt;=$E218),VLOOKUP($F218,$K$2:Z$8,L$1,"Falsch"),"")</f>
        <v/>
      </c>
      <c r="M218" s="16" t="str">
        <f>IF(AND(M$10&gt;=$D218,M$11&lt;=$E218),VLOOKUP($F218,$K$2:AA$8,M$1,"Falsch"),"")</f>
        <v/>
      </c>
      <c r="N218" s="16" t="str">
        <f>IF(AND(N$10&gt;=$D218,N$11&lt;=$E218),VLOOKUP($F218,$K$2:AB$8,N$1,"Falsch"),"")</f>
        <v/>
      </c>
      <c r="O218" s="16" t="str">
        <f>IF(AND(O$10&gt;=$D218,O$11&lt;=$E218),VLOOKUP($F218,$K$2:AC$8,O$1,"Falsch"),"")</f>
        <v/>
      </c>
      <c r="P218" s="16" t="str">
        <f>IF(AND(P$10&gt;=$D218,P$11&lt;=$E218),VLOOKUP($F218,$K$2:AD$8,P$1,"Falsch"),"")</f>
        <v/>
      </c>
      <c r="Q218" s="16" t="str">
        <f>IF(AND(Q$10&gt;=$D218,Q$11&lt;=$E218),VLOOKUP($F218,$K$2:AE$8,Q$1,"Falsch"),"")</f>
        <v/>
      </c>
      <c r="R218" s="16" t="str">
        <f>IF(AND(R$10&gt;=$D218,R$11&lt;=$E218),VLOOKUP($F218,$K$2:AF$8,R$1,"Falsch"),"")</f>
        <v/>
      </c>
      <c r="S218" s="16" t="str">
        <f>IF(AND(S$10&gt;=$D218,S$11&lt;=$E218),VLOOKUP($F218,$K$2:AG$8,S$1,"Falsch"),"")</f>
        <v/>
      </c>
      <c r="T218" s="16" t="str">
        <f>IF(AND(T$10&gt;=$D218,T$11&lt;=$E218),VLOOKUP($F218,$K$2:AH$8,T$1,"Falsch"),"")</f>
        <v/>
      </c>
      <c r="U218" s="16" t="str">
        <f>IF(AND(U$10&gt;=$D218,U$11&lt;=$E218),VLOOKUP($F218,$K$2:AI$8,U$1,"Falsch"),"")</f>
        <v/>
      </c>
      <c r="V218" s="16" t="str">
        <f>IF(AND(V$10&gt;=$D218,V$11&lt;=$E218),VLOOKUP($F218,$K$2:AJ$8,V$1,"Falsch"),"")</f>
        <v/>
      </c>
      <c r="W218" s="16" t="str">
        <f>IF(AND(W$10&gt;=$D218,W$11&lt;=$E218),VLOOKUP($F218,$K$2:AK$8,W$1,"Falsch"),"")</f>
        <v/>
      </c>
      <c r="X218" s="16" t="str">
        <f>IF(AND(X$10&gt;=$D218,X$11&lt;=$E218),VLOOKUP($F218,$K$2:AL$8,X$1,"Falsch"),"")</f>
        <v/>
      </c>
      <c r="Y218" s="16" t="str">
        <f>IF(AND(Y$10&gt;=$D218,Y$11&lt;=$E218),VLOOKUP($F218,$K$2:AM$8,Y$1,"Falsch"),"")</f>
        <v/>
      </c>
      <c r="Z218" s="16" t="str">
        <f>IF(AND(Z$10&gt;=$D218,Z$11&lt;=$E218),VLOOKUP($F218,$K$2:AN$8,Z$1,"Falsch"),"")</f>
        <v/>
      </c>
      <c r="AA218" s="16" t="str">
        <f>IF(AND(AA$10&gt;=$D218,AA$11&lt;=$E218),VLOOKUP($F218,$K$2:AO$8,AA$1,"Falsch"),"")</f>
        <v/>
      </c>
      <c r="AB218" s="16" t="str">
        <f>IF(AND(AB$10&gt;=$D218,AB$11&lt;=$E218),VLOOKUP($F218,$K$2:AP$8,AB$1,"Falsch"),"")</f>
        <v/>
      </c>
      <c r="AC218" s="16" t="str">
        <f>IF(AND(AC$10&gt;=$D218,AC$11&lt;=$E218),VLOOKUP($F218,$K$2:AQ$8,AC$1,"Falsch"),"")</f>
        <v/>
      </c>
      <c r="AD218" s="16" t="str">
        <f>IF(AND(AD$10&gt;=$D218,AD$11&lt;=$E218),VLOOKUP($F218,$K$2:AR$8,AD$1,"Falsch"),"")</f>
        <v/>
      </c>
    </row>
    <row r="219" spans="9:30" x14ac:dyDescent="0.25">
      <c r="I219" s="21">
        <f t="shared" si="37"/>
        <v>0</v>
      </c>
      <c r="K219" s="25">
        <f t="shared" si="36"/>
        <v>0</v>
      </c>
      <c r="L219" s="16" t="str">
        <f>IF(AND(L$10&gt;=$D219,L$11&lt;=$E219),VLOOKUP($F219,$K$2:Z$8,L$1,"Falsch"),"")</f>
        <v/>
      </c>
      <c r="M219" s="16" t="str">
        <f>IF(AND(M$10&gt;=$D219,M$11&lt;=$E219),VLOOKUP($F219,$K$2:AA$8,M$1,"Falsch"),"")</f>
        <v/>
      </c>
      <c r="N219" s="16" t="str">
        <f>IF(AND(N$10&gt;=$D219,N$11&lt;=$E219),VLOOKUP($F219,$K$2:AB$8,N$1,"Falsch"),"")</f>
        <v/>
      </c>
      <c r="O219" s="16" t="str">
        <f>IF(AND(O$10&gt;=$D219,O$11&lt;=$E219),VLOOKUP($F219,$K$2:AC$8,O$1,"Falsch"),"")</f>
        <v/>
      </c>
      <c r="P219" s="16" t="str">
        <f>IF(AND(P$10&gt;=$D219,P$11&lt;=$E219),VLOOKUP($F219,$K$2:AD$8,P$1,"Falsch"),"")</f>
        <v/>
      </c>
      <c r="Q219" s="16" t="str">
        <f>IF(AND(Q$10&gt;=$D219,Q$11&lt;=$E219),VLOOKUP($F219,$K$2:AE$8,Q$1,"Falsch"),"")</f>
        <v/>
      </c>
      <c r="R219" s="16" t="str">
        <f>IF(AND(R$10&gt;=$D219,R$11&lt;=$E219),VLOOKUP($F219,$K$2:AF$8,R$1,"Falsch"),"")</f>
        <v/>
      </c>
      <c r="S219" s="16" t="str">
        <f>IF(AND(S$10&gt;=$D219,S$11&lt;=$E219),VLOOKUP($F219,$K$2:AG$8,S$1,"Falsch"),"")</f>
        <v/>
      </c>
      <c r="T219" s="16" t="str">
        <f>IF(AND(T$10&gt;=$D219,T$11&lt;=$E219),VLOOKUP($F219,$K$2:AH$8,T$1,"Falsch"),"")</f>
        <v/>
      </c>
      <c r="U219" s="16" t="str">
        <f>IF(AND(U$10&gt;=$D219,U$11&lt;=$E219),VLOOKUP($F219,$K$2:AI$8,U$1,"Falsch"),"")</f>
        <v/>
      </c>
      <c r="V219" s="16" t="str">
        <f>IF(AND(V$10&gt;=$D219,V$11&lt;=$E219),VLOOKUP($F219,$K$2:AJ$8,V$1,"Falsch"),"")</f>
        <v/>
      </c>
      <c r="W219" s="16" t="str">
        <f>IF(AND(W$10&gt;=$D219,W$11&lt;=$E219),VLOOKUP($F219,$K$2:AK$8,W$1,"Falsch"),"")</f>
        <v/>
      </c>
      <c r="X219" s="16" t="str">
        <f>IF(AND(X$10&gt;=$D219,X$11&lt;=$E219),VLOOKUP($F219,$K$2:AL$8,X$1,"Falsch"),"")</f>
        <v/>
      </c>
      <c r="Y219" s="16" t="str">
        <f>IF(AND(Y$10&gt;=$D219,Y$11&lt;=$E219),VLOOKUP($F219,$K$2:AM$8,Y$1,"Falsch"),"")</f>
        <v/>
      </c>
      <c r="Z219" s="16" t="str">
        <f>IF(AND(Z$10&gt;=$D219,Z$11&lt;=$E219),VLOOKUP($F219,$K$2:AN$8,Z$1,"Falsch"),"")</f>
        <v/>
      </c>
      <c r="AA219" s="16" t="str">
        <f>IF(AND(AA$10&gt;=$D219,AA$11&lt;=$E219),VLOOKUP($F219,$K$2:AO$8,AA$1,"Falsch"),"")</f>
        <v/>
      </c>
      <c r="AB219" s="16" t="str">
        <f>IF(AND(AB$10&gt;=$D219,AB$11&lt;=$E219),VLOOKUP($F219,$K$2:AP$8,AB$1,"Falsch"),"")</f>
        <v/>
      </c>
      <c r="AC219" s="16" t="str">
        <f>IF(AND(AC$10&gt;=$D219,AC$11&lt;=$E219),VLOOKUP($F219,$K$2:AQ$8,AC$1,"Falsch"),"")</f>
        <v/>
      </c>
      <c r="AD219" s="16" t="str">
        <f>IF(AND(AD$10&gt;=$D219,AD$11&lt;=$E219),VLOOKUP($F219,$K$2:AR$8,AD$1,"Falsch"),"")</f>
        <v/>
      </c>
    </row>
    <row r="220" spans="9:30" x14ac:dyDescent="0.25">
      <c r="I220" s="21">
        <f t="shared" si="37"/>
        <v>0</v>
      </c>
      <c r="K220" s="25">
        <f t="shared" si="36"/>
        <v>0</v>
      </c>
      <c r="L220" s="16" t="str">
        <f>IF(AND(L$10&gt;=$D220,L$11&lt;=$E220),VLOOKUP($F220,$K$2:Z$8,L$1,"Falsch"),"")</f>
        <v/>
      </c>
      <c r="M220" s="16" t="str">
        <f>IF(AND(M$10&gt;=$D220,M$11&lt;=$E220),VLOOKUP($F220,$K$2:AA$8,M$1,"Falsch"),"")</f>
        <v/>
      </c>
      <c r="N220" s="16" t="str">
        <f>IF(AND(N$10&gt;=$D220,N$11&lt;=$E220),VLOOKUP($F220,$K$2:AB$8,N$1,"Falsch"),"")</f>
        <v/>
      </c>
      <c r="O220" s="16" t="str">
        <f>IF(AND(O$10&gt;=$D220,O$11&lt;=$E220),VLOOKUP($F220,$K$2:AC$8,O$1,"Falsch"),"")</f>
        <v/>
      </c>
      <c r="P220" s="16" t="str">
        <f>IF(AND(P$10&gt;=$D220,P$11&lt;=$E220),VLOOKUP($F220,$K$2:AD$8,P$1,"Falsch"),"")</f>
        <v/>
      </c>
      <c r="Q220" s="16" t="str">
        <f>IF(AND(Q$10&gt;=$D220,Q$11&lt;=$E220),VLOOKUP($F220,$K$2:AE$8,Q$1,"Falsch"),"")</f>
        <v/>
      </c>
      <c r="R220" s="16" t="str">
        <f>IF(AND(R$10&gt;=$D220,R$11&lt;=$E220),VLOOKUP($F220,$K$2:AF$8,R$1,"Falsch"),"")</f>
        <v/>
      </c>
      <c r="S220" s="16" t="str">
        <f>IF(AND(S$10&gt;=$D220,S$11&lt;=$E220),VLOOKUP($F220,$K$2:AG$8,S$1,"Falsch"),"")</f>
        <v/>
      </c>
      <c r="T220" s="16" t="str">
        <f>IF(AND(T$10&gt;=$D220,T$11&lt;=$E220),VLOOKUP($F220,$K$2:AH$8,T$1,"Falsch"),"")</f>
        <v/>
      </c>
      <c r="U220" s="16" t="str">
        <f>IF(AND(U$10&gt;=$D220,U$11&lt;=$E220),VLOOKUP($F220,$K$2:AI$8,U$1,"Falsch"),"")</f>
        <v/>
      </c>
      <c r="V220" s="16" t="str">
        <f>IF(AND(V$10&gt;=$D220,V$11&lt;=$E220),VLOOKUP($F220,$K$2:AJ$8,V$1,"Falsch"),"")</f>
        <v/>
      </c>
      <c r="W220" s="16" t="str">
        <f>IF(AND(W$10&gt;=$D220,W$11&lt;=$E220),VLOOKUP($F220,$K$2:AK$8,W$1,"Falsch"),"")</f>
        <v/>
      </c>
      <c r="X220" s="16" t="str">
        <f>IF(AND(X$10&gt;=$D220,X$11&lt;=$E220),VLOOKUP($F220,$K$2:AL$8,X$1,"Falsch"),"")</f>
        <v/>
      </c>
      <c r="Y220" s="16" t="str">
        <f>IF(AND(Y$10&gt;=$D220,Y$11&lt;=$E220),VLOOKUP($F220,$K$2:AM$8,Y$1,"Falsch"),"")</f>
        <v/>
      </c>
      <c r="Z220" s="16" t="str">
        <f>IF(AND(Z$10&gt;=$D220,Z$11&lt;=$E220),VLOOKUP($F220,$K$2:AN$8,Z$1,"Falsch"),"")</f>
        <v/>
      </c>
      <c r="AA220" s="16" t="str">
        <f>IF(AND(AA$10&gt;=$D220,AA$11&lt;=$E220),VLOOKUP($F220,$K$2:AO$8,AA$1,"Falsch"),"")</f>
        <v/>
      </c>
      <c r="AB220" s="16" t="str">
        <f>IF(AND(AB$10&gt;=$D220,AB$11&lt;=$E220),VLOOKUP($F220,$K$2:AP$8,AB$1,"Falsch"),"")</f>
        <v/>
      </c>
      <c r="AC220" s="16" t="str">
        <f>IF(AND(AC$10&gt;=$D220,AC$11&lt;=$E220),VLOOKUP($F220,$K$2:AQ$8,AC$1,"Falsch"),"")</f>
        <v/>
      </c>
      <c r="AD220" s="16" t="str">
        <f>IF(AND(AD$10&gt;=$D220,AD$11&lt;=$E220),VLOOKUP($F220,$K$2:AR$8,AD$1,"Falsch"),"")</f>
        <v/>
      </c>
    </row>
    <row r="221" spans="9:30" x14ac:dyDescent="0.25">
      <c r="I221" s="21">
        <f t="shared" si="37"/>
        <v>0</v>
      </c>
      <c r="K221" s="25">
        <f t="shared" si="36"/>
        <v>0</v>
      </c>
      <c r="L221" s="16" t="str">
        <f>IF(AND(L$10&gt;=$D221,L$11&lt;=$E221),VLOOKUP($F221,$K$2:Z$8,L$1,"Falsch"),"")</f>
        <v/>
      </c>
      <c r="M221" s="16" t="str">
        <f>IF(AND(M$10&gt;=$D221,M$11&lt;=$E221),VLOOKUP($F221,$K$2:AA$8,M$1,"Falsch"),"")</f>
        <v/>
      </c>
      <c r="N221" s="16" t="str">
        <f>IF(AND(N$10&gt;=$D221,N$11&lt;=$E221),VLOOKUP($F221,$K$2:AB$8,N$1,"Falsch"),"")</f>
        <v/>
      </c>
      <c r="O221" s="16" t="str">
        <f>IF(AND(O$10&gt;=$D221,O$11&lt;=$E221),VLOOKUP($F221,$K$2:AC$8,O$1,"Falsch"),"")</f>
        <v/>
      </c>
      <c r="P221" s="16" t="str">
        <f>IF(AND(P$10&gt;=$D221,P$11&lt;=$E221),VLOOKUP($F221,$K$2:AD$8,P$1,"Falsch"),"")</f>
        <v/>
      </c>
      <c r="Q221" s="16" t="str">
        <f>IF(AND(Q$10&gt;=$D221,Q$11&lt;=$E221),VLOOKUP($F221,$K$2:AE$8,Q$1,"Falsch"),"")</f>
        <v/>
      </c>
      <c r="R221" s="16" t="str">
        <f>IF(AND(R$10&gt;=$D221,R$11&lt;=$E221),VLOOKUP($F221,$K$2:AF$8,R$1,"Falsch"),"")</f>
        <v/>
      </c>
      <c r="S221" s="16" t="str">
        <f>IF(AND(S$10&gt;=$D221,S$11&lt;=$E221),VLOOKUP($F221,$K$2:AG$8,S$1,"Falsch"),"")</f>
        <v/>
      </c>
      <c r="T221" s="16" t="str">
        <f>IF(AND(T$10&gt;=$D221,T$11&lt;=$E221),VLOOKUP($F221,$K$2:AH$8,T$1,"Falsch"),"")</f>
        <v/>
      </c>
      <c r="U221" s="16" t="str">
        <f>IF(AND(U$10&gt;=$D221,U$11&lt;=$E221),VLOOKUP($F221,$K$2:AI$8,U$1,"Falsch"),"")</f>
        <v/>
      </c>
      <c r="V221" s="16" t="str">
        <f>IF(AND(V$10&gt;=$D221,V$11&lt;=$E221),VLOOKUP($F221,$K$2:AJ$8,V$1,"Falsch"),"")</f>
        <v/>
      </c>
      <c r="W221" s="16" t="str">
        <f>IF(AND(W$10&gt;=$D221,W$11&lt;=$E221),VLOOKUP($F221,$K$2:AK$8,W$1,"Falsch"),"")</f>
        <v/>
      </c>
      <c r="X221" s="16" t="str">
        <f>IF(AND(X$10&gt;=$D221,X$11&lt;=$E221),VLOOKUP($F221,$K$2:AL$8,X$1,"Falsch"),"")</f>
        <v/>
      </c>
      <c r="Y221" s="16" t="str">
        <f>IF(AND(Y$10&gt;=$D221,Y$11&lt;=$E221),VLOOKUP($F221,$K$2:AM$8,Y$1,"Falsch"),"")</f>
        <v/>
      </c>
      <c r="Z221" s="16" t="str">
        <f>IF(AND(Z$10&gt;=$D221,Z$11&lt;=$E221),VLOOKUP($F221,$K$2:AN$8,Z$1,"Falsch"),"")</f>
        <v/>
      </c>
      <c r="AA221" s="16" t="str">
        <f>IF(AND(AA$10&gt;=$D221,AA$11&lt;=$E221),VLOOKUP($F221,$K$2:AO$8,AA$1,"Falsch"),"")</f>
        <v/>
      </c>
      <c r="AB221" s="16" t="str">
        <f>IF(AND(AB$10&gt;=$D221,AB$11&lt;=$E221),VLOOKUP($F221,$K$2:AP$8,AB$1,"Falsch"),"")</f>
        <v/>
      </c>
      <c r="AC221" s="16" t="str">
        <f>IF(AND(AC$10&gt;=$D221,AC$11&lt;=$E221),VLOOKUP($F221,$K$2:AQ$8,AC$1,"Falsch"),"")</f>
        <v/>
      </c>
      <c r="AD221" s="16" t="str">
        <f>IF(AND(AD$10&gt;=$D221,AD$11&lt;=$E221),VLOOKUP($F221,$K$2:AR$8,AD$1,"Falsch"),"")</f>
        <v/>
      </c>
    </row>
    <row r="222" spans="9:30" x14ac:dyDescent="0.25">
      <c r="I222" s="21">
        <f t="shared" si="37"/>
        <v>0</v>
      </c>
      <c r="K222" s="25">
        <f t="shared" si="36"/>
        <v>0</v>
      </c>
      <c r="L222" s="16" t="str">
        <f>IF(AND(L$10&gt;=$D222,L$11&lt;=$E222),VLOOKUP($F222,$K$2:Z$8,L$1,"Falsch"),"")</f>
        <v/>
      </c>
      <c r="M222" s="16" t="str">
        <f>IF(AND(M$10&gt;=$D222,M$11&lt;=$E222),VLOOKUP($F222,$K$2:AA$8,M$1,"Falsch"),"")</f>
        <v/>
      </c>
      <c r="N222" s="16" t="str">
        <f>IF(AND(N$10&gt;=$D222,N$11&lt;=$E222),VLOOKUP($F222,$K$2:AB$8,N$1,"Falsch"),"")</f>
        <v/>
      </c>
      <c r="O222" s="16" t="str">
        <f>IF(AND(O$10&gt;=$D222,O$11&lt;=$E222),VLOOKUP($F222,$K$2:AC$8,O$1,"Falsch"),"")</f>
        <v/>
      </c>
      <c r="P222" s="16" t="str">
        <f>IF(AND(P$10&gt;=$D222,P$11&lt;=$E222),VLOOKUP($F222,$K$2:AD$8,P$1,"Falsch"),"")</f>
        <v/>
      </c>
      <c r="Q222" s="16" t="str">
        <f>IF(AND(Q$10&gt;=$D222,Q$11&lt;=$E222),VLOOKUP($F222,$K$2:AE$8,Q$1,"Falsch"),"")</f>
        <v/>
      </c>
      <c r="R222" s="16" t="str">
        <f>IF(AND(R$10&gt;=$D222,R$11&lt;=$E222),VLOOKUP($F222,$K$2:AF$8,R$1,"Falsch"),"")</f>
        <v/>
      </c>
      <c r="S222" s="16" t="str">
        <f>IF(AND(S$10&gt;=$D222,S$11&lt;=$E222),VLOOKUP($F222,$K$2:AG$8,S$1,"Falsch"),"")</f>
        <v/>
      </c>
      <c r="T222" s="16" t="str">
        <f>IF(AND(T$10&gt;=$D222,T$11&lt;=$E222),VLOOKUP($F222,$K$2:AH$8,T$1,"Falsch"),"")</f>
        <v/>
      </c>
      <c r="U222" s="16" t="str">
        <f>IF(AND(U$10&gt;=$D222,U$11&lt;=$E222),VLOOKUP($F222,$K$2:AI$8,U$1,"Falsch"),"")</f>
        <v/>
      </c>
      <c r="V222" s="16" t="str">
        <f>IF(AND(V$10&gt;=$D222,V$11&lt;=$E222),VLOOKUP($F222,$K$2:AJ$8,V$1,"Falsch"),"")</f>
        <v/>
      </c>
      <c r="W222" s="16" t="str">
        <f>IF(AND(W$10&gt;=$D222,W$11&lt;=$E222),VLOOKUP($F222,$K$2:AK$8,W$1,"Falsch"),"")</f>
        <v/>
      </c>
      <c r="X222" s="16" t="str">
        <f>IF(AND(X$10&gt;=$D222,X$11&lt;=$E222),VLOOKUP($F222,$K$2:AL$8,X$1,"Falsch"),"")</f>
        <v/>
      </c>
      <c r="Y222" s="16" t="str">
        <f>IF(AND(Y$10&gt;=$D222,Y$11&lt;=$E222),VLOOKUP($F222,$K$2:AM$8,Y$1,"Falsch"),"")</f>
        <v/>
      </c>
      <c r="Z222" s="16" t="str">
        <f>IF(AND(Z$10&gt;=$D222,Z$11&lt;=$E222),VLOOKUP($F222,$K$2:AN$8,Z$1,"Falsch"),"")</f>
        <v/>
      </c>
      <c r="AA222" s="16" t="str">
        <f>IF(AND(AA$10&gt;=$D222,AA$11&lt;=$E222),VLOOKUP($F222,$K$2:AO$8,AA$1,"Falsch"),"")</f>
        <v/>
      </c>
      <c r="AB222" s="16" t="str">
        <f>IF(AND(AB$10&gt;=$D222,AB$11&lt;=$E222),VLOOKUP($F222,$K$2:AP$8,AB$1,"Falsch"),"")</f>
        <v/>
      </c>
      <c r="AC222" s="16" t="str">
        <f>IF(AND(AC$10&gt;=$D222,AC$11&lt;=$E222),VLOOKUP($F222,$K$2:AQ$8,AC$1,"Falsch"),"")</f>
        <v/>
      </c>
      <c r="AD222" s="16" t="str">
        <f>IF(AND(AD$10&gt;=$D222,AD$11&lt;=$E222),VLOOKUP($F222,$K$2:AR$8,AD$1,"Falsch"),"")</f>
        <v/>
      </c>
    </row>
    <row r="223" spans="9:30" x14ac:dyDescent="0.25">
      <c r="I223" s="21">
        <f t="shared" si="37"/>
        <v>0</v>
      </c>
      <c r="K223" s="25">
        <f t="shared" si="36"/>
        <v>0</v>
      </c>
      <c r="L223" s="16" t="str">
        <f>IF(AND(L$10&gt;=$D223,L$11&lt;=$E223),VLOOKUP($F223,$K$2:Z$8,L$1,"Falsch"),"")</f>
        <v/>
      </c>
      <c r="M223" s="16" t="str">
        <f>IF(AND(M$10&gt;=$D223,M$11&lt;=$E223),VLOOKUP($F223,$K$2:AA$8,M$1,"Falsch"),"")</f>
        <v/>
      </c>
      <c r="N223" s="16" t="str">
        <f>IF(AND(N$10&gt;=$D223,N$11&lt;=$E223),VLOOKUP($F223,$K$2:AB$8,N$1,"Falsch"),"")</f>
        <v/>
      </c>
      <c r="O223" s="16" t="str">
        <f>IF(AND(O$10&gt;=$D223,O$11&lt;=$E223),VLOOKUP($F223,$K$2:AC$8,O$1,"Falsch"),"")</f>
        <v/>
      </c>
      <c r="P223" s="16" t="str">
        <f>IF(AND(P$10&gt;=$D223,P$11&lt;=$E223),VLOOKUP($F223,$K$2:AD$8,P$1,"Falsch"),"")</f>
        <v/>
      </c>
      <c r="Q223" s="16" t="str">
        <f>IF(AND(Q$10&gt;=$D223,Q$11&lt;=$E223),VLOOKUP($F223,$K$2:AE$8,Q$1,"Falsch"),"")</f>
        <v/>
      </c>
      <c r="R223" s="16" t="str">
        <f>IF(AND(R$10&gt;=$D223,R$11&lt;=$E223),VLOOKUP($F223,$K$2:AF$8,R$1,"Falsch"),"")</f>
        <v/>
      </c>
      <c r="S223" s="16" t="str">
        <f>IF(AND(S$10&gt;=$D223,S$11&lt;=$E223),VLOOKUP($F223,$K$2:AG$8,S$1,"Falsch"),"")</f>
        <v/>
      </c>
      <c r="T223" s="16" t="str">
        <f>IF(AND(T$10&gt;=$D223,T$11&lt;=$E223),VLOOKUP($F223,$K$2:AH$8,T$1,"Falsch"),"")</f>
        <v/>
      </c>
      <c r="U223" s="16" t="str">
        <f>IF(AND(U$10&gt;=$D223,U$11&lt;=$E223),VLOOKUP($F223,$K$2:AI$8,U$1,"Falsch"),"")</f>
        <v/>
      </c>
      <c r="V223" s="16" t="str">
        <f>IF(AND(V$10&gt;=$D223,V$11&lt;=$E223),VLOOKUP($F223,$K$2:AJ$8,V$1,"Falsch"),"")</f>
        <v/>
      </c>
      <c r="W223" s="16" t="str">
        <f>IF(AND(W$10&gt;=$D223,W$11&lt;=$E223),VLOOKUP($F223,$K$2:AK$8,W$1,"Falsch"),"")</f>
        <v/>
      </c>
      <c r="X223" s="16" t="str">
        <f>IF(AND(X$10&gt;=$D223,X$11&lt;=$E223),VLOOKUP($F223,$K$2:AL$8,X$1,"Falsch"),"")</f>
        <v/>
      </c>
      <c r="Y223" s="16" t="str">
        <f>IF(AND(Y$10&gt;=$D223,Y$11&lt;=$E223),VLOOKUP($F223,$K$2:AM$8,Y$1,"Falsch"),"")</f>
        <v/>
      </c>
      <c r="Z223" s="16" t="str">
        <f>IF(AND(Z$10&gt;=$D223,Z$11&lt;=$E223),VLOOKUP($F223,$K$2:AN$8,Z$1,"Falsch"),"")</f>
        <v/>
      </c>
      <c r="AA223" s="16" t="str">
        <f>IF(AND(AA$10&gt;=$D223,AA$11&lt;=$E223),VLOOKUP($F223,$K$2:AO$8,AA$1,"Falsch"),"")</f>
        <v/>
      </c>
      <c r="AB223" s="16" t="str">
        <f>IF(AND(AB$10&gt;=$D223,AB$11&lt;=$E223),VLOOKUP($F223,$K$2:AP$8,AB$1,"Falsch"),"")</f>
        <v/>
      </c>
      <c r="AC223" s="16" t="str">
        <f>IF(AND(AC$10&gt;=$D223,AC$11&lt;=$E223),VLOOKUP($F223,$K$2:AQ$8,AC$1,"Falsch"),"")</f>
        <v/>
      </c>
      <c r="AD223" s="16" t="str">
        <f>IF(AND(AD$10&gt;=$D223,AD$11&lt;=$E223),VLOOKUP($F223,$K$2:AR$8,AD$1,"Falsch"),"")</f>
        <v/>
      </c>
    </row>
    <row r="224" spans="9:30" x14ac:dyDescent="0.25">
      <c r="I224" s="21">
        <f t="shared" si="37"/>
        <v>0</v>
      </c>
      <c r="K224" s="25">
        <f t="shared" si="36"/>
        <v>0</v>
      </c>
      <c r="L224" s="16" t="str">
        <f>IF(AND(L$10&gt;=$D224,L$11&lt;=$E224),VLOOKUP($F224,$K$2:Z$8,L$1,"Falsch"),"")</f>
        <v/>
      </c>
      <c r="M224" s="16" t="str">
        <f>IF(AND(M$10&gt;=$D224,M$11&lt;=$E224),VLOOKUP($F224,$K$2:AA$8,M$1,"Falsch"),"")</f>
        <v/>
      </c>
      <c r="N224" s="16" t="str">
        <f>IF(AND(N$10&gt;=$D224,N$11&lt;=$E224),VLOOKUP($F224,$K$2:AB$8,N$1,"Falsch"),"")</f>
        <v/>
      </c>
      <c r="O224" s="16" t="str">
        <f>IF(AND(O$10&gt;=$D224,O$11&lt;=$E224),VLOOKUP($F224,$K$2:AC$8,O$1,"Falsch"),"")</f>
        <v/>
      </c>
      <c r="P224" s="16" t="str">
        <f>IF(AND(P$10&gt;=$D224,P$11&lt;=$E224),VLOOKUP($F224,$K$2:AD$8,P$1,"Falsch"),"")</f>
        <v/>
      </c>
      <c r="Q224" s="16" t="str">
        <f>IF(AND(Q$10&gt;=$D224,Q$11&lt;=$E224),VLOOKUP($F224,$K$2:AE$8,Q$1,"Falsch"),"")</f>
        <v/>
      </c>
      <c r="R224" s="16" t="str">
        <f>IF(AND(R$10&gt;=$D224,R$11&lt;=$E224),VLOOKUP($F224,$K$2:AF$8,R$1,"Falsch"),"")</f>
        <v/>
      </c>
      <c r="S224" s="16" t="str">
        <f>IF(AND(S$10&gt;=$D224,S$11&lt;=$E224),VLOOKUP($F224,$K$2:AG$8,S$1,"Falsch"),"")</f>
        <v/>
      </c>
      <c r="T224" s="16" t="str">
        <f>IF(AND(T$10&gt;=$D224,T$11&lt;=$E224),VLOOKUP($F224,$K$2:AH$8,T$1,"Falsch"),"")</f>
        <v/>
      </c>
      <c r="U224" s="16" t="str">
        <f>IF(AND(U$10&gt;=$D224,U$11&lt;=$E224),VLOOKUP($F224,$K$2:AI$8,U$1,"Falsch"),"")</f>
        <v/>
      </c>
      <c r="V224" s="16" t="str">
        <f>IF(AND(V$10&gt;=$D224,V$11&lt;=$E224),VLOOKUP($F224,$K$2:AJ$8,V$1,"Falsch"),"")</f>
        <v/>
      </c>
      <c r="W224" s="16" t="str">
        <f>IF(AND(W$10&gt;=$D224,W$11&lt;=$E224),VLOOKUP($F224,$K$2:AK$8,W$1,"Falsch"),"")</f>
        <v/>
      </c>
      <c r="X224" s="16" t="str">
        <f>IF(AND(X$10&gt;=$D224,X$11&lt;=$E224),VLOOKUP($F224,$K$2:AL$8,X$1,"Falsch"),"")</f>
        <v/>
      </c>
      <c r="Y224" s="16" t="str">
        <f>IF(AND(Y$10&gt;=$D224,Y$11&lt;=$E224),VLOOKUP($F224,$K$2:AM$8,Y$1,"Falsch"),"")</f>
        <v/>
      </c>
      <c r="Z224" s="16" t="str">
        <f>IF(AND(Z$10&gt;=$D224,Z$11&lt;=$E224),VLOOKUP($F224,$K$2:AN$8,Z$1,"Falsch"),"")</f>
        <v/>
      </c>
      <c r="AA224" s="16" t="str">
        <f>IF(AND(AA$10&gt;=$D224,AA$11&lt;=$E224),VLOOKUP($F224,$K$2:AO$8,AA$1,"Falsch"),"")</f>
        <v/>
      </c>
      <c r="AB224" s="16" t="str">
        <f>IF(AND(AB$10&gt;=$D224,AB$11&lt;=$E224),VLOOKUP($F224,$K$2:AP$8,AB$1,"Falsch"),"")</f>
        <v/>
      </c>
      <c r="AC224" s="16" t="str">
        <f>IF(AND(AC$10&gt;=$D224,AC$11&lt;=$E224),VLOOKUP($F224,$K$2:AQ$8,AC$1,"Falsch"),"")</f>
        <v/>
      </c>
      <c r="AD224" s="16" t="str">
        <f>IF(AND(AD$10&gt;=$D224,AD$11&lt;=$E224),VLOOKUP($F224,$K$2:AR$8,AD$1,"Falsch"),"")</f>
        <v/>
      </c>
    </row>
    <row r="225" spans="9:30" x14ac:dyDescent="0.25">
      <c r="I225" s="21">
        <f t="shared" si="37"/>
        <v>0</v>
      </c>
      <c r="K225" s="25">
        <f t="shared" si="36"/>
        <v>0</v>
      </c>
      <c r="L225" s="16" t="str">
        <f>IF(AND(L$10&gt;=$D225,L$11&lt;=$E225),VLOOKUP($F225,$K$2:Z$8,L$1,"Falsch"),"")</f>
        <v/>
      </c>
      <c r="M225" s="16" t="str">
        <f>IF(AND(M$10&gt;=$D225,M$11&lt;=$E225),VLOOKUP($F225,$K$2:AA$8,M$1,"Falsch"),"")</f>
        <v/>
      </c>
      <c r="N225" s="16" t="str">
        <f>IF(AND(N$10&gt;=$D225,N$11&lt;=$E225),VLOOKUP($F225,$K$2:AB$8,N$1,"Falsch"),"")</f>
        <v/>
      </c>
      <c r="O225" s="16" t="str">
        <f>IF(AND(O$10&gt;=$D225,O$11&lt;=$E225),VLOOKUP($F225,$K$2:AC$8,O$1,"Falsch"),"")</f>
        <v/>
      </c>
      <c r="P225" s="16" t="str">
        <f>IF(AND(P$10&gt;=$D225,P$11&lt;=$E225),VLOOKUP($F225,$K$2:AD$8,P$1,"Falsch"),"")</f>
        <v/>
      </c>
      <c r="Q225" s="16" t="str">
        <f>IF(AND(Q$10&gt;=$D225,Q$11&lt;=$E225),VLOOKUP($F225,$K$2:AE$8,Q$1,"Falsch"),"")</f>
        <v/>
      </c>
      <c r="R225" s="16" t="str">
        <f>IF(AND(R$10&gt;=$D225,R$11&lt;=$E225),VLOOKUP($F225,$K$2:AF$8,R$1,"Falsch"),"")</f>
        <v/>
      </c>
      <c r="S225" s="16" t="str">
        <f>IF(AND(S$10&gt;=$D225,S$11&lt;=$E225),VLOOKUP($F225,$K$2:AG$8,S$1,"Falsch"),"")</f>
        <v/>
      </c>
      <c r="T225" s="16" t="str">
        <f>IF(AND(T$10&gt;=$D225,T$11&lt;=$E225),VLOOKUP($F225,$K$2:AH$8,T$1,"Falsch"),"")</f>
        <v/>
      </c>
      <c r="U225" s="16" t="str">
        <f>IF(AND(U$10&gt;=$D225,U$11&lt;=$E225),VLOOKUP($F225,$K$2:AI$8,U$1,"Falsch"),"")</f>
        <v/>
      </c>
      <c r="V225" s="16" t="str">
        <f>IF(AND(V$10&gt;=$D225,V$11&lt;=$E225),VLOOKUP($F225,$K$2:AJ$8,V$1,"Falsch"),"")</f>
        <v/>
      </c>
      <c r="W225" s="16" t="str">
        <f>IF(AND(W$10&gt;=$D225,W$11&lt;=$E225),VLOOKUP($F225,$K$2:AK$8,W$1,"Falsch"),"")</f>
        <v/>
      </c>
      <c r="X225" s="16" t="str">
        <f>IF(AND(X$10&gt;=$D225,X$11&lt;=$E225),VLOOKUP($F225,$K$2:AL$8,X$1,"Falsch"),"")</f>
        <v/>
      </c>
      <c r="Y225" s="16" t="str">
        <f>IF(AND(Y$10&gt;=$D225,Y$11&lt;=$E225),VLOOKUP($F225,$K$2:AM$8,Y$1,"Falsch"),"")</f>
        <v/>
      </c>
      <c r="Z225" s="16" t="str">
        <f>IF(AND(Z$10&gt;=$D225,Z$11&lt;=$E225),VLOOKUP($F225,$K$2:AN$8,Z$1,"Falsch"),"")</f>
        <v/>
      </c>
      <c r="AA225" s="16" t="str">
        <f>IF(AND(AA$10&gt;=$D225,AA$11&lt;=$E225),VLOOKUP($F225,$K$2:AO$8,AA$1,"Falsch"),"")</f>
        <v/>
      </c>
      <c r="AB225" s="16" t="str">
        <f>IF(AND(AB$10&gt;=$D225,AB$11&lt;=$E225),VLOOKUP($F225,$K$2:AP$8,AB$1,"Falsch"),"")</f>
        <v/>
      </c>
      <c r="AC225" s="16" t="str">
        <f>IF(AND(AC$10&gt;=$D225,AC$11&lt;=$E225),VLOOKUP($F225,$K$2:AQ$8,AC$1,"Falsch"),"")</f>
        <v/>
      </c>
      <c r="AD225" s="16" t="str">
        <f>IF(AND(AD$10&gt;=$D225,AD$11&lt;=$E225),VLOOKUP($F225,$K$2:AR$8,AD$1,"Falsch"),"")</f>
        <v/>
      </c>
    </row>
    <row r="226" spans="9:30" x14ac:dyDescent="0.25">
      <c r="I226" s="21">
        <f t="shared" si="37"/>
        <v>0</v>
      </c>
      <c r="K226" s="25">
        <f t="shared" si="36"/>
        <v>0</v>
      </c>
      <c r="L226" s="16" t="str">
        <f>IF(AND(L$10&gt;=$D226,L$11&lt;=$E226),VLOOKUP($F226,$K$2:Z$8,L$1,"Falsch"),"")</f>
        <v/>
      </c>
      <c r="M226" s="16" t="str">
        <f>IF(AND(M$10&gt;=$D226,M$11&lt;=$E226),VLOOKUP($F226,$K$2:AA$8,M$1,"Falsch"),"")</f>
        <v/>
      </c>
      <c r="N226" s="16" t="str">
        <f>IF(AND(N$10&gt;=$D226,N$11&lt;=$E226),VLOOKUP($F226,$K$2:AB$8,N$1,"Falsch"),"")</f>
        <v/>
      </c>
      <c r="O226" s="16" t="str">
        <f>IF(AND(O$10&gt;=$D226,O$11&lt;=$E226),VLOOKUP($F226,$K$2:AC$8,O$1,"Falsch"),"")</f>
        <v/>
      </c>
      <c r="P226" s="16" t="str">
        <f>IF(AND(P$10&gt;=$D226,P$11&lt;=$E226),VLOOKUP($F226,$K$2:AD$8,P$1,"Falsch"),"")</f>
        <v/>
      </c>
      <c r="Q226" s="16" t="str">
        <f>IF(AND(Q$10&gt;=$D226,Q$11&lt;=$E226),VLOOKUP($F226,$K$2:AE$8,Q$1,"Falsch"),"")</f>
        <v/>
      </c>
      <c r="R226" s="16" t="str">
        <f>IF(AND(R$10&gt;=$D226,R$11&lt;=$E226),VLOOKUP($F226,$K$2:AF$8,R$1,"Falsch"),"")</f>
        <v/>
      </c>
      <c r="S226" s="16" t="str">
        <f>IF(AND(S$10&gt;=$D226,S$11&lt;=$E226),VLOOKUP($F226,$K$2:AG$8,S$1,"Falsch"),"")</f>
        <v/>
      </c>
      <c r="T226" s="16" t="str">
        <f>IF(AND(T$10&gt;=$D226,T$11&lt;=$E226),VLOOKUP($F226,$K$2:AH$8,T$1,"Falsch"),"")</f>
        <v/>
      </c>
      <c r="U226" s="16" t="str">
        <f>IF(AND(U$10&gt;=$D226,U$11&lt;=$E226),VLOOKUP($F226,$K$2:AI$8,U$1,"Falsch"),"")</f>
        <v/>
      </c>
      <c r="V226" s="16" t="str">
        <f>IF(AND(V$10&gt;=$D226,V$11&lt;=$E226),VLOOKUP($F226,$K$2:AJ$8,V$1,"Falsch"),"")</f>
        <v/>
      </c>
      <c r="W226" s="16" t="str">
        <f>IF(AND(W$10&gt;=$D226,W$11&lt;=$E226),VLOOKUP($F226,$K$2:AK$8,W$1,"Falsch"),"")</f>
        <v/>
      </c>
      <c r="X226" s="16" t="str">
        <f>IF(AND(X$10&gt;=$D226,X$11&lt;=$E226),VLOOKUP($F226,$K$2:AL$8,X$1,"Falsch"),"")</f>
        <v/>
      </c>
      <c r="Y226" s="16" t="str">
        <f>IF(AND(Y$10&gt;=$D226,Y$11&lt;=$E226),VLOOKUP($F226,$K$2:AM$8,Y$1,"Falsch"),"")</f>
        <v/>
      </c>
      <c r="Z226" s="16" t="str">
        <f>IF(AND(Z$10&gt;=$D226,Z$11&lt;=$E226),VLOOKUP($F226,$K$2:AN$8,Z$1,"Falsch"),"")</f>
        <v/>
      </c>
      <c r="AA226" s="16" t="str">
        <f>IF(AND(AA$10&gt;=$D226,AA$11&lt;=$E226),VLOOKUP($F226,$K$2:AO$8,AA$1,"Falsch"),"")</f>
        <v/>
      </c>
      <c r="AB226" s="16" t="str">
        <f>IF(AND(AB$10&gt;=$D226,AB$11&lt;=$E226),VLOOKUP($F226,$K$2:AP$8,AB$1,"Falsch"),"")</f>
        <v/>
      </c>
      <c r="AC226" s="16" t="str">
        <f>IF(AND(AC$10&gt;=$D226,AC$11&lt;=$E226),VLOOKUP($F226,$K$2:AQ$8,AC$1,"Falsch"),"")</f>
        <v/>
      </c>
      <c r="AD226" s="16" t="str">
        <f>IF(AND(AD$10&gt;=$D226,AD$11&lt;=$E226),VLOOKUP($F226,$K$2:AR$8,AD$1,"Falsch"),"")</f>
        <v/>
      </c>
    </row>
    <row r="227" spans="9:30" x14ac:dyDescent="0.25">
      <c r="I227" s="21">
        <f t="shared" si="37"/>
        <v>0</v>
      </c>
      <c r="K227" s="25">
        <f t="shared" si="36"/>
        <v>0</v>
      </c>
      <c r="L227" s="16" t="str">
        <f>IF(AND(L$10&gt;=$D227,L$11&lt;=$E227),VLOOKUP($F227,$K$2:Z$8,L$1,"Falsch"),"")</f>
        <v/>
      </c>
      <c r="M227" s="16" t="str">
        <f>IF(AND(M$10&gt;=$D227,M$11&lt;=$E227),VLOOKUP($F227,$K$2:AA$8,M$1,"Falsch"),"")</f>
        <v/>
      </c>
      <c r="N227" s="16" t="str">
        <f>IF(AND(N$10&gt;=$D227,N$11&lt;=$E227),VLOOKUP($F227,$K$2:AB$8,N$1,"Falsch"),"")</f>
        <v/>
      </c>
      <c r="O227" s="16" t="str">
        <f>IF(AND(O$10&gt;=$D227,O$11&lt;=$E227),VLOOKUP($F227,$K$2:AC$8,O$1,"Falsch"),"")</f>
        <v/>
      </c>
      <c r="P227" s="16" t="str">
        <f>IF(AND(P$10&gt;=$D227,P$11&lt;=$E227),VLOOKUP($F227,$K$2:AD$8,P$1,"Falsch"),"")</f>
        <v/>
      </c>
      <c r="Q227" s="16" t="str">
        <f>IF(AND(Q$10&gt;=$D227,Q$11&lt;=$E227),VLOOKUP($F227,$K$2:AE$8,Q$1,"Falsch"),"")</f>
        <v/>
      </c>
      <c r="R227" s="16" t="str">
        <f>IF(AND(R$10&gt;=$D227,R$11&lt;=$E227),VLOOKUP($F227,$K$2:AF$8,R$1,"Falsch"),"")</f>
        <v/>
      </c>
      <c r="S227" s="16" t="str">
        <f>IF(AND(S$10&gt;=$D227,S$11&lt;=$E227),VLOOKUP($F227,$K$2:AG$8,S$1,"Falsch"),"")</f>
        <v/>
      </c>
      <c r="T227" s="16" t="str">
        <f>IF(AND(T$10&gt;=$D227,T$11&lt;=$E227),VLOOKUP($F227,$K$2:AH$8,T$1,"Falsch"),"")</f>
        <v/>
      </c>
      <c r="U227" s="16" t="str">
        <f>IF(AND(U$10&gt;=$D227,U$11&lt;=$E227),VLOOKUP($F227,$K$2:AI$8,U$1,"Falsch"),"")</f>
        <v/>
      </c>
      <c r="V227" s="16" t="str">
        <f>IF(AND(V$10&gt;=$D227,V$11&lt;=$E227),VLOOKUP($F227,$K$2:AJ$8,V$1,"Falsch"),"")</f>
        <v/>
      </c>
      <c r="W227" s="16" t="str">
        <f>IF(AND(W$10&gt;=$D227,W$11&lt;=$E227),VLOOKUP($F227,$K$2:AK$8,W$1,"Falsch"),"")</f>
        <v/>
      </c>
      <c r="X227" s="16" t="str">
        <f>IF(AND(X$10&gt;=$D227,X$11&lt;=$E227),VLOOKUP($F227,$K$2:AL$8,X$1,"Falsch"),"")</f>
        <v/>
      </c>
      <c r="Y227" s="16" t="str">
        <f>IF(AND(Y$10&gt;=$D227,Y$11&lt;=$E227),VLOOKUP($F227,$K$2:AM$8,Y$1,"Falsch"),"")</f>
        <v/>
      </c>
      <c r="Z227" s="16" t="str">
        <f>IF(AND(Z$10&gt;=$D227,Z$11&lt;=$E227),VLOOKUP($F227,$K$2:AN$8,Z$1,"Falsch"),"")</f>
        <v/>
      </c>
      <c r="AA227" s="16" t="str">
        <f>IF(AND(AA$10&gt;=$D227,AA$11&lt;=$E227),VLOOKUP($F227,$K$2:AO$8,AA$1,"Falsch"),"")</f>
        <v/>
      </c>
      <c r="AB227" s="16" t="str">
        <f>IF(AND(AB$10&gt;=$D227,AB$11&lt;=$E227),VLOOKUP($F227,$K$2:AP$8,AB$1,"Falsch"),"")</f>
        <v/>
      </c>
      <c r="AC227" s="16" t="str">
        <f>IF(AND(AC$10&gt;=$D227,AC$11&lt;=$E227),VLOOKUP($F227,$K$2:AQ$8,AC$1,"Falsch"),"")</f>
        <v/>
      </c>
      <c r="AD227" s="16" t="str">
        <f>IF(AND(AD$10&gt;=$D227,AD$11&lt;=$E227),VLOOKUP($F227,$K$2:AR$8,AD$1,"Falsch"),"")</f>
        <v/>
      </c>
    </row>
    <row r="228" spans="9:30" x14ac:dyDescent="0.25">
      <c r="I228" s="21">
        <f t="shared" si="37"/>
        <v>0</v>
      </c>
      <c r="K228" s="25">
        <f t="shared" si="36"/>
        <v>0</v>
      </c>
      <c r="L228" s="16" t="str">
        <f>IF(AND(L$10&gt;=$D228,L$11&lt;=$E228),VLOOKUP($F228,$K$2:Z$8,L$1,"Falsch"),"")</f>
        <v/>
      </c>
      <c r="M228" s="16" t="str">
        <f>IF(AND(M$10&gt;=$D228,M$11&lt;=$E228),VLOOKUP($F228,$K$2:AA$8,M$1,"Falsch"),"")</f>
        <v/>
      </c>
      <c r="N228" s="16" t="str">
        <f>IF(AND(N$10&gt;=$D228,N$11&lt;=$E228),VLOOKUP($F228,$K$2:AB$8,N$1,"Falsch"),"")</f>
        <v/>
      </c>
      <c r="O228" s="16" t="str">
        <f>IF(AND(O$10&gt;=$D228,O$11&lt;=$E228),VLOOKUP($F228,$K$2:AC$8,O$1,"Falsch"),"")</f>
        <v/>
      </c>
      <c r="P228" s="16" t="str">
        <f>IF(AND(P$10&gt;=$D228,P$11&lt;=$E228),VLOOKUP($F228,$K$2:AD$8,P$1,"Falsch"),"")</f>
        <v/>
      </c>
      <c r="Q228" s="16" t="str">
        <f>IF(AND(Q$10&gt;=$D228,Q$11&lt;=$E228),VLOOKUP($F228,$K$2:AE$8,Q$1,"Falsch"),"")</f>
        <v/>
      </c>
      <c r="R228" s="16" t="str">
        <f>IF(AND(R$10&gt;=$D228,R$11&lt;=$E228),VLOOKUP($F228,$K$2:AF$8,R$1,"Falsch"),"")</f>
        <v/>
      </c>
      <c r="S228" s="16" t="str">
        <f>IF(AND(S$10&gt;=$D228,S$11&lt;=$E228),VLOOKUP($F228,$K$2:AG$8,S$1,"Falsch"),"")</f>
        <v/>
      </c>
      <c r="T228" s="16" t="str">
        <f>IF(AND(T$10&gt;=$D228,T$11&lt;=$E228),VLOOKUP($F228,$K$2:AH$8,T$1,"Falsch"),"")</f>
        <v/>
      </c>
      <c r="U228" s="16" t="str">
        <f>IF(AND(U$10&gt;=$D228,U$11&lt;=$E228),VLOOKUP($F228,$K$2:AI$8,U$1,"Falsch"),"")</f>
        <v/>
      </c>
      <c r="V228" s="16" t="str">
        <f>IF(AND(V$10&gt;=$D228,V$11&lt;=$E228),VLOOKUP($F228,$K$2:AJ$8,V$1,"Falsch"),"")</f>
        <v/>
      </c>
      <c r="W228" s="16" t="str">
        <f>IF(AND(W$10&gt;=$D228,W$11&lt;=$E228),VLOOKUP($F228,$K$2:AK$8,W$1,"Falsch"),"")</f>
        <v/>
      </c>
      <c r="X228" s="16" t="str">
        <f>IF(AND(X$10&gt;=$D228,X$11&lt;=$E228),VLOOKUP($F228,$K$2:AL$8,X$1,"Falsch"),"")</f>
        <v/>
      </c>
      <c r="Y228" s="16" t="str">
        <f>IF(AND(Y$10&gt;=$D228,Y$11&lt;=$E228),VLOOKUP($F228,$K$2:AM$8,Y$1,"Falsch"),"")</f>
        <v/>
      </c>
      <c r="Z228" s="16" t="str">
        <f>IF(AND(Z$10&gt;=$D228,Z$11&lt;=$E228),VLOOKUP($F228,$K$2:AN$8,Z$1,"Falsch"),"")</f>
        <v/>
      </c>
      <c r="AA228" s="16" t="str">
        <f>IF(AND(AA$10&gt;=$D228,AA$11&lt;=$E228),VLOOKUP($F228,$K$2:AO$8,AA$1,"Falsch"),"")</f>
        <v/>
      </c>
      <c r="AB228" s="16" t="str">
        <f>IF(AND(AB$10&gt;=$D228,AB$11&lt;=$E228),VLOOKUP($F228,$K$2:AP$8,AB$1,"Falsch"),"")</f>
        <v/>
      </c>
      <c r="AC228" s="16" t="str">
        <f>IF(AND(AC$10&gt;=$D228,AC$11&lt;=$E228),VLOOKUP($F228,$K$2:AQ$8,AC$1,"Falsch"),"")</f>
        <v/>
      </c>
      <c r="AD228" s="16" t="str">
        <f>IF(AND(AD$10&gt;=$D228,AD$11&lt;=$E228),VLOOKUP($F228,$K$2:AR$8,AD$1,"Falsch"),"")</f>
        <v/>
      </c>
    </row>
    <row r="229" spans="9:30" x14ac:dyDescent="0.25">
      <c r="I229" s="21">
        <f t="shared" si="37"/>
        <v>0</v>
      </c>
      <c r="K229" s="25">
        <f t="shared" si="36"/>
        <v>0</v>
      </c>
      <c r="L229" s="16" t="str">
        <f>IF(AND(L$10&gt;=$D229,L$11&lt;=$E229),VLOOKUP($F229,$K$2:Z$8,L$1,"Falsch"),"")</f>
        <v/>
      </c>
      <c r="M229" s="16" t="str">
        <f>IF(AND(M$10&gt;=$D229,M$11&lt;=$E229),VLOOKUP($F229,$K$2:AA$8,M$1,"Falsch"),"")</f>
        <v/>
      </c>
      <c r="N229" s="16" t="str">
        <f>IF(AND(N$10&gt;=$D229,N$11&lt;=$E229),VLOOKUP($F229,$K$2:AB$8,N$1,"Falsch"),"")</f>
        <v/>
      </c>
      <c r="O229" s="16" t="str">
        <f>IF(AND(O$10&gt;=$D229,O$11&lt;=$E229),VLOOKUP($F229,$K$2:AC$8,O$1,"Falsch"),"")</f>
        <v/>
      </c>
      <c r="P229" s="16" t="str">
        <f>IF(AND(P$10&gt;=$D229,P$11&lt;=$E229),VLOOKUP($F229,$K$2:AD$8,P$1,"Falsch"),"")</f>
        <v/>
      </c>
      <c r="Q229" s="16" t="str">
        <f>IF(AND(Q$10&gt;=$D229,Q$11&lt;=$E229),VLOOKUP($F229,$K$2:AE$8,Q$1,"Falsch"),"")</f>
        <v/>
      </c>
      <c r="R229" s="16" t="str">
        <f>IF(AND(R$10&gt;=$D229,R$11&lt;=$E229),VLOOKUP($F229,$K$2:AF$8,R$1,"Falsch"),"")</f>
        <v/>
      </c>
      <c r="S229" s="16" t="str">
        <f>IF(AND(S$10&gt;=$D229,S$11&lt;=$E229),VLOOKUP($F229,$K$2:AG$8,S$1,"Falsch"),"")</f>
        <v/>
      </c>
      <c r="T229" s="16" t="str">
        <f>IF(AND(T$10&gt;=$D229,T$11&lt;=$E229),VLOOKUP($F229,$K$2:AH$8,T$1,"Falsch"),"")</f>
        <v/>
      </c>
      <c r="U229" s="16" t="str">
        <f>IF(AND(U$10&gt;=$D229,U$11&lt;=$E229),VLOOKUP($F229,$K$2:AI$8,U$1,"Falsch"),"")</f>
        <v/>
      </c>
      <c r="V229" s="16" t="str">
        <f>IF(AND(V$10&gt;=$D229,V$11&lt;=$E229),VLOOKUP($F229,$K$2:AJ$8,V$1,"Falsch"),"")</f>
        <v/>
      </c>
      <c r="W229" s="16" t="str">
        <f>IF(AND(W$10&gt;=$D229,W$11&lt;=$E229),VLOOKUP($F229,$K$2:AK$8,W$1,"Falsch"),"")</f>
        <v/>
      </c>
      <c r="X229" s="16" t="str">
        <f>IF(AND(X$10&gt;=$D229,X$11&lt;=$E229),VLOOKUP($F229,$K$2:AL$8,X$1,"Falsch"),"")</f>
        <v/>
      </c>
      <c r="Y229" s="16" t="str">
        <f>IF(AND(Y$10&gt;=$D229,Y$11&lt;=$E229),VLOOKUP($F229,$K$2:AM$8,Y$1,"Falsch"),"")</f>
        <v/>
      </c>
      <c r="Z229" s="16" t="str">
        <f>IF(AND(Z$10&gt;=$D229,Z$11&lt;=$E229),VLOOKUP($F229,$K$2:AN$8,Z$1,"Falsch"),"")</f>
        <v/>
      </c>
      <c r="AA229" s="16" t="str">
        <f>IF(AND(AA$10&gt;=$D229,AA$11&lt;=$E229),VLOOKUP($F229,$K$2:AO$8,AA$1,"Falsch"),"")</f>
        <v/>
      </c>
      <c r="AB229" s="16" t="str">
        <f>IF(AND(AB$10&gt;=$D229,AB$11&lt;=$E229),VLOOKUP($F229,$K$2:AP$8,AB$1,"Falsch"),"")</f>
        <v/>
      </c>
      <c r="AC229" s="16" t="str">
        <f>IF(AND(AC$10&gt;=$D229,AC$11&lt;=$E229),VLOOKUP($F229,$K$2:AQ$8,AC$1,"Falsch"),"")</f>
        <v/>
      </c>
      <c r="AD229" s="16" t="str">
        <f>IF(AND(AD$10&gt;=$D229,AD$11&lt;=$E229),VLOOKUP($F229,$K$2:AR$8,AD$1,"Falsch"),"")</f>
        <v/>
      </c>
    </row>
    <row r="230" spans="9:30" x14ac:dyDescent="0.25">
      <c r="I230" s="21">
        <f t="shared" si="37"/>
        <v>0</v>
      </c>
      <c r="K230" s="25">
        <f t="shared" si="36"/>
        <v>0</v>
      </c>
      <c r="L230" s="16" t="str">
        <f>IF(AND(L$10&gt;=$D230,L$11&lt;=$E230),VLOOKUP($F230,$K$2:Z$8,L$1,"Falsch"),"")</f>
        <v/>
      </c>
      <c r="M230" s="16" t="str">
        <f>IF(AND(M$10&gt;=$D230,M$11&lt;=$E230),VLOOKUP($F230,$K$2:AA$8,M$1,"Falsch"),"")</f>
        <v/>
      </c>
      <c r="N230" s="16" t="str">
        <f>IF(AND(N$10&gt;=$D230,N$11&lt;=$E230),VLOOKUP($F230,$K$2:AB$8,N$1,"Falsch"),"")</f>
        <v/>
      </c>
      <c r="O230" s="16" t="str">
        <f>IF(AND(O$10&gt;=$D230,O$11&lt;=$E230),VLOOKUP($F230,$K$2:AC$8,O$1,"Falsch"),"")</f>
        <v/>
      </c>
      <c r="P230" s="16" t="str">
        <f>IF(AND(P$10&gt;=$D230,P$11&lt;=$E230),VLOOKUP($F230,$K$2:AD$8,P$1,"Falsch"),"")</f>
        <v/>
      </c>
      <c r="Q230" s="16" t="str">
        <f>IF(AND(Q$10&gt;=$D230,Q$11&lt;=$E230),VLOOKUP($F230,$K$2:AE$8,Q$1,"Falsch"),"")</f>
        <v/>
      </c>
      <c r="R230" s="16" t="str">
        <f>IF(AND(R$10&gt;=$D230,R$11&lt;=$E230),VLOOKUP($F230,$K$2:AF$8,R$1,"Falsch"),"")</f>
        <v/>
      </c>
      <c r="S230" s="16" t="str">
        <f>IF(AND(S$10&gt;=$D230,S$11&lt;=$E230),VLOOKUP($F230,$K$2:AG$8,S$1,"Falsch"),"")</f>
        <v/>
      </c>
      <c r="T230" s="16" t="str">
        <f>IF(AND(T$10&gt;=$D230,T$11&lt;=$E230),VLOOKUP($F230,$K$2:AH$8,T$1,"Falsch"),"")</f>
        <v/>
      </c>
      <c r="U230" s="16" t="str">
        <f>IF(AND(U$10&gt;=$D230,U$11&lt;=$E230),VLOOKUP($F230,$K$2:AI$8,U$1,"Falsch"),"")</f>
        <v/>
      </c>
      <c r="V230" s="16" t="str">
        <f>IF(AND(V$10&gt;=$D230,V$11&lt;=$E230),VLOOKUP($F230,$K$2:AJ$8,V$1,"Falsch"),"")</f>
        <v/>
      </c>
      <c r="W230" s="16" t="str">
        <f>IF(AND(W$10&gt;=$D230,W$11&lt;=$E230),VLOOKUP($F230,$K$2:AK$8,W$1,"Falsch"),"")</f>
        <v/>
      </c>
      <c r="X230" s="16" t="str">
        <f>IF(AND(X$10&gt;=$D230,X$11&lt;=$E230),VLOOKUP($F230,$K$2:AL$8,X$1,"Falsch"),"")</f>
        <v/>
      </c>
      <c r="Y230" s="16" t="str">
        <f>IF(AND(Y$10&gt;=$D230,Y$11&lt;=$E230),VLOOKUP($F230,$K$2:AM$8,Y$1,"Falsch"),"")</f>
        <v/>
      </c>
      <c r="Z230" s="16" t="str">
        <f>IF(AND(Z$10&gt;=$D230,Z$11&lt;=$E230),VLOOKUP($F230,$K$2:AN$8,Z$1,"Falsch"),"")</f>
        <v/>
      </c>
      <c r="AA230" s="16" t="str">
        <f>IF(AND(AA$10&gt;=$D230,AA$11&lt;=$E230),VLOOKUP($F230,$K$2:AO$8,AA$1,"Falsch"),"")</f>
        <v/>
      </c>
      <c r="AB230" s="16" t="str">
        <f>IF(AND(AB$10&gt;=$D230,AB$11&lt;=$E230),VLOOKUP($F230,$K$2:AP$8,AB$1,"Falsch"),"")</f>
        <v/>
      </c>
      <c r="AC230" s="16" t="str">
        <f>IF(AND(AC$10&gt;=$D230,AC$11&lt;=$E230),VLOOKUP($F230,$K$2:AQ$8,AC$1,"Falsch"),"")</f>
        <v/>
      </c>
      <c r="AD230" s="16" t="str">
        <f>IF(AND(AD$10&gt;=$D230,AD$11&lt;=$E230),VLOOKUP($F230,$K$2:AR$8,AD$1,"Falsch"),"")</f>
        <v/>
      </c>
    </row>
    <row r="231" spans="9:30" x14ac:dyDescent="0.25">
      <c r="I231" s="21">
        <f t="shared" si="37"/>
        <v>0</v>
      </c>
      <c r="K231" s="25">
        <f t="shared" si="36"/>
        <v>0</v>
      </c>
      <c r="L231" s="16" t="str">
        <f>IF(AND(L$10&gt;=$D231,L$11&lt;=$E231),VLOOKUP($F231,$K$2:Z$8,L$1,"Falsch"),"")</f>
        <v/>
      </c>
      <c r="M231" s="16" t="str">
        <f>IF(AND(M$10&gt;=$D231,M$11&lt;=$E231),VLOOKUP($F231,$K$2:AA$8,M$1,"Falsch"),"")</f>
        <v/>
      </c>
      <c r="N231" s="16" t="str">
        <f>IF(AND(N$10&gt;=$D231,N$11&lt;=$E231),VLOOKUP($F231,$K$2:AB$8,N$1,"Falsch"),"")</f>
        <v/>
      </c>
      <c r="O231" s="16" t="str">
        <f>IF(AND(O$10&gt;=$D231,O$11&lt;=$E231),VLOOKUP($F231,$K$2:AC$8,O$1,"Falsch"),"")</f>
        <v/>
      </c>
      <c r="P231" s="16" t="str">
        <f>IF(AND(P$10&gt;=$D231,P$11&lt;=$E231),VLOOKUP($F231,$K$2:AD$8,P$1,"Falsch"),"")</f>
        <v/>
      </c>
      <c r="Q231" s="16" t="str">
        <f>IF(AND(Q$10&gt;=$D231,Q$11&lt;=$E231),VLOOKUP($F231,$K$2:AE$8,Q$1,"Falsch"),"")</f>
        <v/>
      </c>
      <c r="R231" s="16" t="str">
        <f>IF(AND(R$10&gt;=$D231,R$11&lt;=$E231),VLOOKUP($F231,$K$2:AF$8,R$1,"Falsch"),"")</f>
        <v/>
      </c>
      <c r="S231" s="16" t="str">
        <f>IF(AND(S$10&gt;=$D231,S$11&lt;=$E231),VLOOKUP($F231,$K$2:AG$8,S$1,"Falsch"),"")</f>
        <v/>
      </c>
      <c r="T231" s="16" t="str">
        <f>IF(AND(T$10&gt;=$D231,T$11&lt;=$E231),VLOOKUP($F231,$K$2:AH$8,T$1,"Falsch"),"")</f>
        <v/>
      </c>
      <c r="U231" s="16" t="str">
        <f>IF(AND(U$10&gt;=$D231,U$11&lt;=$E231),VLOOKUP($F231,$K$2:AI$8,U$1,"Falsch"),"")</f>
        <v/>
      </c>
      <c r="V231" s="16" t="str">
        <f>IF(AND(V$10&gt;=$D231,V$11&lt;=$E231),VLOOKUP($F231,$K$2:AJ$8,V$1,"Falsch"),"")</f>
        <v/>
      </c>
      <c r="W231" s="16" t="str">
        <f>IF(AND(W$10&gt;=$D231,W$11&lt;=$E231),VLOOKUP($F231,$K$2:AK$8,W$1,"Falsch"),"")</f>
        <v/>
      </c>
      <c r="X231" s="16" t="str">
        <f>IF(AND(X$10&gt;=$D231,X$11&lt;=$E231),VLOOKUP($F231,$K$2:AL$8,X$1,"Falsch"),"")</f>
        <v/>
      </c>
      <c r="Y231" s="16" t="str">
        <f>IF(AND(Y$10&gt;=$D231,Y$11&lt;=$E231),VLOOKUP($F231,$K$2:AM$8,Y$1,"Falsch"),"")</f>
        <v/>
      </c>
      <c r="Z231" s="16" t="str">
        <f>IF(AND(Z$10&gt;=$D231,Z$11&lt;=$E231),VLOOKUP($F231,$K$2:AN$8,Z$1,"Falsch"),"")</f>
        <v/>
      </c>
      <c r="AA231" s="16" t="str">
        <f>IF(AND(AA$10&gt;=$D231,AA$11&lt;=$E231),VLOOKUP($F231,$K$2:AO$8,AA$1,"Falsch"),"")</f>
        <v/>
      </c>
      <c r="AB231" s="16" t="str">
        <f>IF(AND(AB$10&gt;=$D231,AB$11&lt;=$E231),VLOOKUP($F231,$K$2:AP$8,AB$1,"Falsch"),"")</f>
        <v/>
      </c>
      <c r="AC231" s="16" t="str">
        <f>IF(AND(AC$10&gt;=$D231,AC$11&lt;=$E231),VLOOKUP($F231,$K$2:AQ$8,AC$1,"Falsch"),"")</f>
        <v/>
      </c>
      <c r="AD231" s="16" t="str">
        <f>IF(AND(AD$10&gt;=$D231,AD$11&lt;=$E231),VLOOKUP($F231,$K$2:AR$8,AD$1,"Falsch"),"")</f>
        <v/>
      </c>
    </row>
    <row r="232" spans="9:30" x14ac:dyDescent="0.25">
      <c r="I232" s="21">
        <f t="shared" si="37"/>
        <v>0</v>
      </c>
      <c r="K232" s="25">
        <f t="shared" si="36"/>
        <v>0</v>
      </c>
      <c r="L232" s="16" t="str">
        <f>IF(AND(L$10&gt;=$D232,L$11&lt;=$E232),VLOOKUP($F232,$K$2:Z$8,L$1,"Falsch"),"")</f>
        <v/>
      </c>
      <c r="M232" s="16" t="str">
        <f>IF(AND(M$10&gt;=$D232,M$11&lt;=$E232),VLOOKUP($F232,$K$2:AA$8,M$1,"Falsch"),"")</f>
        <v/>
      </c>
      <c r="N232" s="16" t="str">
        <f>IF(AND(N$10&gt;=$D232,N$11&lt;=$E232),VLOOKUP($F232,$K$2:AB$8,N$1,"Falsch"),"")</f>
        <v/>
      </c>
      <c r="O232" s="16" t="str">
        <f>IF(AND(O$10&gt;=$D232,O$11&lt;=$E232),VLOOKUP($F232,$K$2:AC$8,O$1,"Falsch"),"")</f>
        <v/>
      </c>
      <c r="P232" s="16" t="str">
        <f>IF(AND(P$10&gt;=$D232,P$11&lt;=$E232),VLOOKUP($F232,$K$2:AD$8,P$1,"Falsch"),"")</f>
        <v/>
      </c>
      <c r="Q232" s="16" t="str">
        <f>IF(AND(Q$10&gt;=$D232,Q$11&lt;=$E232),VLOOKUP($F232,$K$2:AE$8,Q$1,"Falsch"),"")</f>
        <v/>
      </c>
      <c r="R232" s="16" t="str">
        <f>IF(AND(R$10&gt;=$D232,R$11&lt;=$E232),VLOOKUP($F232,$K$2:AF$8,R$1,"Falsch"),"")</f>
        <v/>
      </c>
      <c r="S232" s="16" t="str">
        <f>IF(AND(S$10&gt;=$D232,S$11&lt;=$E232),VLOOKUP($F232,$K$2:AG$8,S$1,"Falsch"),"")</f>
        <v/>
      </c>
      <c r="T232" s="16" t="str">
        <f>IF(AND(T$10&gt;=$D232,T$11&lt;=$E232),VLOOKUP($F232,$K$2:AH$8,T$1,"Falsch"),"")</f>
        <v/>
      </c>
      <c r="U232" s="16" t="str">
        <f>IF(AND(U$10&gt;=$D232,U$11&lt;=$E232),VLOOKUP($F232,$K$2:AI$8,U$1,"Falsch"),"")</f>
        <v/>
      </c>
      <c r="V232" s="16" t="str">
        <f>IF(AND(V$10&gt;=$D232,V$11&lt;=$E232),VLOOKUP($F232,$K$2:AJ$8,V$1,"Falsch"),"")</f>
        <v/>
      </c>
      <c r="W232" s="16" t="str">
        <f>IF(AND(W$10&gt;=$D232,W$11&lt;=$E232),VLOOKUP($F232,$K$2:AK$8,W$1,"Falsch"),"")</f>
        <v/>
      </c>
      <c r="X232" s="16" t="str">
        <f>IF(AND(X$10&gt;=$D232,X$11&lt;=$E232),VLOOKUP($F232,$K$2:AL$8,X$1,"Falsch"),"")</f>
        <v/>
      </c>
      <c r="Y232" s="16" t="str">
        <f>IF(AND(Y$10&gt;=$D232,Y$11&lt;=$E232),VLOOKUP($F232,$K$2:AM$8,Y$1,"Falsch"),"")</f>
        <v/>
      </c>
      <c r="Z232" s="16" t="str">
        <f>IF(AND(Z$10&gt;=$D232,Z$11&lt;=$E232),VLOOKUP($F232,$K$2:AN$8,Z$1,"Falsch"),"")</f>
        <v/>
      </c>
      <c r="AA232" s="16" t="str">
        <f>IF(AND(AA$10&gt;=$D232,AA$11&lt;=$E232),VLOOKUP($F232,$K$2:AO$8,AA$1,"Falsch"),"")</f>
        <v/>
      </c>
      <c r="AB232" s="16" t="str">
        <f>IF(AND(AB$10&gt;=$D232,AB$11&lt;=$E232),VLOOKUP($F232,$K$2:AP$8,AB$1,"Falsch"),"")</f>
        <v/>
      </c>
      <c r="AC232" s="16" t="str">
        <f>IF(AND(AC$10&gt;=$D232,AC$11&lt;=$E232),VLOOKUP($F232,$K$2:AQ$8,AC$1,"Falsch"),"")</f>
        <v/>
      </c>
      <c r="AD232" s="16" t="str">
        <f>IF(AND(AD$10&gt;=$D232,AD$11&lt;=$E232),VLOOKUP($F232,$K$2:AR$8,AD$1,"Falsch"),"")</f>
        <v/>
      </c>
    </row>
    <row r="233" spans="9:30" x14ac:dyDescent="0.25">
      <c r="I233" s="21">
        <f t="shared" si="37"/>
        <v>0</v>
      </c>
      <c r="K233" s="25">
        <f t="shared" si="36"/>
        <v>0</v>
      </c>
      <c r="L233" s="16" t="str">
        <f>IF(AND(L$10&gt;=$D233,L$11&lt;=$E233),VLOOKUP($F233,$K$2:Z$8,L$1,"Falsch"),"")</f>
        <v/>
      </c>
      <c r="M233" s="16" t="str">
        <f>IF(AND(M$10&gt;=$D233,M$11&lt;=$E233),VLOOKUP($F233,$K$2:AA$8,M$1,"Falsch"),"")</f>
        <v/>
      </c>
      <c r="N233" s="16" t="str">
        <f>IF(AND(N$10&gt;=$D233,N$11&lt;=$E233),VLOOKUP($F233,$K$2:AB$8,N$1,"Falsch"),"")</f>
        <v/>
      </c>
      <c r="O233" s="16" t="str">
        <f>IF(AND(O$10&gt;=$D233,O$11&lt;=$E233),VLOOKUP($F233,$K$2:AC$8,O$1,"Falsch"),"")</f>
        <v/>
      </c>
      <c r="P233" s="16" t="str">
        <f>IF(AND(P$10&gt;=$D233,P$11&lt;=$E233),VLOOKUP($F233,$K$2:AD$8,P$1,"Falsch"),"")</f>
        <v/>
      </c>
      <c r="Q233" s="16" t="str">
        <f>IF(AND(Q$10&gt;=$D233,Q$11&lt;=$E233),VLOOKUP($F233,$K$2:AE$8,Q$1,"Falsch"),"")</f>
        <v/>
      </c>
      <c r="R233" s="16" t="str">
        <f>IF(AND(R$10&gt;=$D233,R$11&lt;=$E233),VLOOKUP($F233,$K$2:AF$8,R$1,"Falsch"),"")</f>
        <v/>
      </c>
      <c r="S233" s="16" t="str">
        <f>IF(AND(S$10&gt;=$D233,S$11&lt;=$E233),VLOOKUP($F233,$K$2:AG$8,S$1,"Falsch"),"")</f>
        <v/>
      </c>
      <c r="T233" s="16" t="str">
        <f>IF(AND(T$10&gt;=$D233,T$11&lt;=$E233),VLOOKUP($F233,$K$2:AH$8,T$1,"Falsch"),"")</f>
        <v/>
      </c>
      <c r="U233" s="16" t="str">
        <f>IF(AND(U$10&gt;=$D233,U$11&lt;=$E233),VLOOKUP($F233,$K$2:AI$8,U$1,"Falsch"),"")</f>
        <v/>
      </c>
      <c r="V233" s="16" t="str">
        <f>IF(AND(V$10&gt;=$D233,V$11&lt;=$E233),VLOOKUP($F233,$K$2:AJ$8,V$1,"Falsch"),"")</f>
        <v/>
      </c>
      <c r="W233" s="16" t="str">
        <f>IF(AND(W$10&gt;=$D233,W$11&lt;=$E233),VLOOKUP($F233,$K$2:AK$8,W$1,"Falsch"),"")</f>
        <v/>
      </c>
      <c r="X233" s="16" t="str">
        <f>IF(AND(X$10&gt;=$D233,X$11&lt;=$E233),VLOOKUP($F233,$K$2:AL$8,X$1,"Falsch"),"")</f>
        <v/>
      </c>
      <c r="Y233" s="16" t="str">
        <f>IF(AND(Y$10&gt;=$D233,Y$11&lt;=$E233),VLOOKUP($F233,$K$2:AM$8,Y$1,"Falsch"),"")</f>
        <v/>
      </c>
      <c r="Z233" s="16" t="str">
        <f>IF(AND(Z$10&gt;=$D233,Z$11&lt;=$E233),VLOOKUP($F233,$K$2:AN$8,Z$1,"Falsch"),"")</f>
        <v/>
      </c>
      <c r="AA233" s="16" t="str">
        <f>IF(AND(AA$10&gt;=$D233,AA$11&lt;=$E233),VLOOKUP($F233,$K$2:AO$8,AA$1,"Falsch"),"")</f>
        <v/>
      </c>
      <c r="AB233" s="16" t="str">
        <f>IF(AND(AB$10&gt;=$D233,AB$11&lt;=$E233),VLOOKUP($F233,$K$2:AP$8,AB$1,"Falsch"),"")</f>
        <v/>
      </c>
      <c r="AC233" s="16" t="str">
        <f>IF(AND(AC$10&gt;=$D233,AC$11&lt;=$E233),VLOOKUP($F233,$K$2:AQ$8,AC$1,"Falsch"),"")</f>
        <v/>
      </c>
      <c r="AD233" s="16" t="str">
        <f>IF(AND(AD$10&gt;=$D233,AD$11&lt;=$E233),VLOOKUP($F233,$K$2:AR$8,AD$1,"Falsch"),"")</f>
        <v/>
      </c>
    </row>
    <row r="234" spans="9:30" x14ac:dyDescent="0.25">
      <c r="I234" s="21">
        <f t="shared" si="37"/>
        <v>0</v>
      </c>
      <c r="K234" s="25">
        <f t="shared" si="36"/>
        <v>0</v>
      </c>
      <c r="L234" s="16" t="str">
        <f>IF(AND(L$10&gt;=$D234,L$11&lt;=$E234),VLOOKUP($F234,$K$2:Z$8,L$1,"Falsch"),"")</f>
        <v/>
      </c>
      <c r="M234" s="16" t="str">
        <f>IF(AND(M$10&gt;=$D234,M$11&lt;=$E234),VLOOKUP($F234,$K$2:AA$8,M$1,"Falsch"),"")</f>
        <v/>
      </c>
      <c r="N234" s="16" t="str">
        <f>IF(AND(N$10&gt;=$D234,N$11&lt;=$E234),VLOOKUP($F234,$K$2:AB$8,N$1,"Falsch"),"")</f>
        <v/>
      </c>
      <c r="O234" s="16" t="str">
        <f>IF(AND(O$10&gt;=$D234,O$11&lt;=$E234),VLOOKUP($F234,$K$2:AC$8,O$1,"Falsch"),"")</f>
        <v/>
      </c>
      <c r="P234" s="16" t="str">
        <f>IF(AND(P$10&gt;=$D234,P$11&lt;=$E234),VLOOKUP($F234,$K$2:AD$8,P$1,"Falsch"),"")</f>
        <v/>
      </c>
      <c r="Q234" s="16" t="str">
        <f>IF(AND(Q$10&gt;=$D234,Q$11&lt;=$E234),VLOOKUP($F234,$K$2:AE$8,Q$1,"Falsch"),"")</f>
        <v/>
      </c>
      <c r="R234" s="16" t="str">
        <f>IF(AND(R$10&gt;=$D234,R$11&lt;=$E234),VLOOKUP($F234,$K$2:AF$8,R$1,"Falsch"),"")</f>
        <v/>
      </c>
      <c r="S234" s="16" t="str">
        <f>IF(AND(S$10&gt;=$D234,S$11&lt;=$E234),VLOOKUP($F234,$K$2:AG$8,S$1,"Falsch"),"")</f>
        <v/>
      </c>
      <c r="T234" s="16" t="str">
        <f>IF(AND(T$10&gt;=$D234,T$11&lt;=$E234),VLOOKUP($F234,$K$2:AH$8,T$1,"Falsch"),"")</f>
        <v/>
      </c>
      <c r="U234" s="16" t="str">
        <f>IF(AND(U$10&gt;=$D234,U$11&lt;=$E234),VLOOKUP($F234,$K$2:AI$8,U$1,"Falsch"),"")</f>
        <v/>
      </c>
      <c r="V234" s="16" t="str">
        <f>IF(AND(V$10&gt;=$D234,V$11&lt;=$E234),VLOOKUP($F234,$K$2:AJ$8,V$1,"Falsch"),"")</f>
        <v/>
      </c>
      <c r="W234" s="16" t="str">
        <f>IF(AND(W$10&gt;=$D234,W$11&lt;=$E234),VLOOKUP($F234,$K$2:AK$8,W$1,"Falsch"),"")</f>
        <v/>
      </c>
      <c r="X234" s="16" t="str">
        <f>IF(AND(X$10&gt;=$D234,X$11&lt;=$E234),VLOOKUP($F234,$K$2:AL$8,X$1,"Falsch"),"")</f>
        <v/>
      </c>
      <c r="Y234" s="16" t="str">
        <f>IF(AND(Y$10&gt;=$D234,Y$11&lt;=$E234),VLOOKUP($F234,$K$2:AM$8,Y$1,"Falsch"),"")</f>
        <v/>
      </c>
      <c r="Z234" s="16" t="str">
        <f>IF(AND(Z$10&gt;=$D234,Z$11&lt;=$E234),VLOOKUP($F234,$K$2:AN$8,Z$1,"Falsch"),"")</f>
        <v/>
      </c>
      <c r="AA234" s="16" t="str">
        <f>IF(AND(AA$10&gt;=$D234,AA$11&lt;=$E234),VLOOKUP($F234,$K$2:AO$8,AA$1,"Falsch"),"")</f>
        <v/>
      </c>
      <c r="AB234" s="16" t="str">
        <f>IF(AND(AB$10&gt;=$D234,AB$11&lt;=$E234),VLOOKUP($F234,$K$2:AP$8,AB$1,"Falsch"),"")</f>
        <v/>
      </c>
      <c r="AC234" s="16" t="str">
        <f>IF(AND(AC$10&gt;=$D234,AC$11&lt;=$E234),VLOOKUP($F234,$K$2:AQ$8,AC$1,"Falsch"),"")</f>
        <v/>
      </c>
      <c r="AD234" s="16" t="str">
        <f>IF(AND(AD$10&gt;=$D234,AD$11&lt;=$E234),VLOOKUP($F234,$K$2:AR$8,AD$1,"Falsch"),"")</f>
        <v/>
      </c>
    </row>
    <row r="235" spans="9:30" x14ac:dyDescent="0.25">
      <c r="I235" s="21">
        <f t="shared" si="37"/>
        <v>0</v>
      </c>
      <c r="K235" s="25">
        <f t="shared" si="36"/>
        <v>0</v>
      </c>
      <c r="L235" s="16" t="str">
        <f>IF(AND(L$10&gt;=$D235,L$11&lt;=$E235),VLOOKUP($F235,$K$2:Z$8,L$1,"Falsch"),"")</f>
        <v/>
      </c>
      <c r="M235" s="16" t="str">
        <f>IF(AND(M$10&gt;=$D235,M$11&lt;=$E235),VLOOKUP($F235,$K$2:AA$8,M$1,"Falsch"),"")</f>
        <v/>
      </c>
      <c r="N235" s="16" t="str">
        <f>IF(AND(N$10&gt;=$D235,N$11&lt;=$E235),VLOOKUP($F235,$K$2:AB$8,N$1,"Falsch"),"")</f>
        <v/>
      </c>
      <c r="O235" s="16" t="str">
        <f>IF(AND(O$10&gt;=$D235,O$11&lt;=$E235),VLOOKUP($F235,$K$2:AC$8,O$1,"Falsch"),"")</f>
        <v/>
      </c>
      <c r="P235" s="16" t="str">
        <f>IF(AND(P$10&gt;=$D235,P$11&lt;=$E235),VLOOKUP($F235,$K$2:AD$8,P$1,"Falsch"),"")</f>
        <v/>
      </c>
      <c r="Q235" s="16" t="str">
        <f>IF(AND(Q$10&gt;=$D235,Q$11&lt;=$E235),VLOOKUP($F235,$K$2:AE$8,Q$1,"Falsch"),"")</f>
        <v/>
      </c>
      <c r="R235" s="16" t="str">
        <f>IF(AND(R$10&gt;=$D235,R$11&lt;=$E235),VLOOKUP($F235,$K$2:AF$8,R$1,"Falsch"),"")</f>
        <v/>
      </c>
      <c r="S235" s="16" t="str">
        <f>IF(AND(S$10&gt;=$D235,S$11&lt;=$E235),VLOOKUP($F235,$K$2:AG$8,S$1,"Falsch"),"")</f>
        <v/>
      </c>
      <c r="T235" s="16" t="str">
        <f>IF(AND(T$10&gt;=$D235,T$11&lt;=$E235),VLOOKUP($F235,$K$2:AH$8,T$1,"Falsch"),"")</f>
        <v/>
      </c>
      <c r="U235" s="16" t="str">
        <f>IF(AND(U$10&gt;=$D235,U$11&lt;=$E235),VLOOKUP($F235,$K$2:AI$8,U$1,"Falsch"),"")</f>
        <v/>
      </c>
      <c r="V235" s="16" t="str">
        <f>IF(AND(V$10&gt;=$D235,V$11&lt;=$E235),VLOOKUP($F235,$K$2:AJ$8,V$1,"Falsch"),"")</f>
        <v/>
      </c>
      <c r="W235" s="16" t="str">
        <f>IF(AND(W$10&gt;=$D235,W$11&lt;=$E235),VLOOKUP($F235,$K$2:AK$8,W$1,"Falsch"),"")</f>
        <v/>
      </c>
      <c r="X235" s="16" t="str">
        <f>IF(AND(X$10&gt;=$D235,X$11&lt;=$E235),VLOOKUP($F235,$K$2:AL$8,X$1,"Falsch"),"")</f>
        <v/>
      </c>
      <c r="Y235" s="16" t="str">
        <f>IF(AND(Y$10&gt;=$D235,Y$11&lt;=$E235),VLOOKUP($F235,$K$2:AM$8,Y$1,"Falsch"),"")</f>
        <v/>
      </c>
      <c r="Z235" s="16" t="str">
        <f>IF(AND(Z$10&gt;=$D235,Z$11&lt;=$E235),VLOOKUP($F235,$K$2:AN$8,Z$1,"Falsch"),"")</f>
        <v/>
      </c>
      <c r="AA235" s="16" t="str">
        <f>IF(AND(AA$10&gt;=$D235,AA$11&lt;=$E235),VLOOKUP($F235,$K$2:AO$8,AA$1,"Falsch"),"")</f>
        <v/>
      </c>
      <c r="AB235" s="16" t="str">
        <f>IF(AND(AB$10&gt;=$D235,AB$11&lt;=$E235),VLOOKUP($F235,$K$2:AP$8,AB$1,"Falsch"),"")</f>
        <v/>
      </c>
      <c r="AC235" s="16" t="str">
        <f>IF(AND(AC$10&gt;=$D235,AC$11&lt;=$E235),VLOOKUP($F235,$K$2:AQ$8,AC$1,"Falsch"),"")</f>
        <v/>
      </c>
      <c r="AD235" s="16" t="str">
        <f>IF(AND(AD$10&gt;=$D235,AD$11&lt;=$E235),VLOOKUP($F235,$K$2:AR$8,AD$1,"Falsch"),"")</f>
        <v/>
      </c>
    </row>
    <row r="236" spans="9:30" x14ac:dyDescent="0.25">
      <c r="I236" s="21">
        <f t="shared" si="37"/>
        <v>0</v>
      </c>
      <c r="K236" s="25">
        <f t="shared" si="36"/>
        <v>0</v>
      </c>
      <c r="L236" s="16" t="str">
        <f>IF(AND(L$10&gt;=$D236,L$11&lt;=$E236),VLOOKUP($F236,$K$2:Z$8,L$1,"Falsch"),"")</f>
        <v/>
      </c>
      <c r="M236" s="16" t="str">
        <f>IF(AND(M$10&gt;=$D236,M$11&lt;=$E236),VLOOKUP($F236,$K$2:AA$8,M$1,"Falsch"),"")</f>
        <v/>
      </c>
      <c r="N236" s="16" t="str">
        <f>IF(AND(N$10&gt;=$D236,N$11&lt;=$E236),VLOOKUP($F236,$K$2:AB$8,N$1,"Falsch"),"")</f>
        <v/>
      </c>
      <c r="O236" s="16" t="str">
        <f>IF(AND(O$10&gt;=$D236,O$11&lt;=$E236),VLOOKUP($F236,$K$2:AC$8,O$1,"Falsch"),"")</f>
        <v/>
      </c>
      <c r="P236" s="16" t="str">
        <f>IF(AND(P$10&gt;=$D236,P$11&lt;=$E236),VLOOKUP($F236,$K$2:AD$8,P$1,"Falsch"),"")</f>
        <v/>
      </c>
      <c r="Q236" s="16" t="str">
        <f>IF(AND(Q$10&gt;=$D236,Q$11&lt;=$E236),VLOOKUP($F236,$K$2:AE$8,Q$1,"Falsch"),"")</f>
        <v/>
      </c>
      <c r="R236" s="16" t="str">
        <f>IF(AND(R$10&gt;=$D236,R$11&lt;=$E236),VLOOKUP($F236,$K$2:AF$8,R$1,"Falsch"),"")</f>
        <v/>
      </c>
      <c r="S236" s="16" t="str">
        <f>IF(AND(S$10&gt;=$D236,S$11&lt;=$E236),VLOOKUP($F236,$K$2:AG$8,S$1,"Falsch"),"")</f>
        <v/>
      </c>
      <c r="T236" s="16" t="str">
        <f>IF(AND(T$10&gt;=$D236,T$11&lt;=$E236),VLOOKUP($F236,$K$2:AH$8,T$1,"Falsch"),"")</f>
        <v/>
      </c>
      <c r="U236" s="16" t="str">
        <f>IF(AND(U$10&gt;=$D236,U$11&lt;=$E236),VLOOKUP($F236,$K$2:AI$8,U$1,"Falsch"),"")</f>
        <v/>
      </c>
      <c r="V236" s="16" t="str">
        <f>IF(AND(V$10&gt;=$D236,V$11&lt;=$E236),VLOOKUP($F236,$K$2:AJ$8,V$1,"Falsch"),"")</f>
        <v/>
      </c>
      <c r="W236" s="16" t="str">
        <f>IF(AND(W$10&gt;=$D236,W$11&lt;=$E236),VLOOKUP($F236,$K$2:AK$8,W$1,"Falsch"),"")</f>
        <v/>
      </c>
      <c r="X236" s="16" t="str">
        <f>IF(AND(X$10&gt;=$D236,X$11&lt;=$E236),VLOOKUP($F236,$K$2:AL$8,X$1,"Falsch"),"")</f>
        <v/>
      </c>
      <c r="Y236" s="16" t="str">
        <f>IF(AND(Y$10&gt;=$D236,Y$11&lt;=$E236),VLOOKUP($F236,$K$2:AM$8,Y$1,"Falsch"),"")</f>
        <v/>
      </c>
      <c r="Z236" s="16" t="str">
        <f>IF(AND(Z$10&gt;=$D236,Z$11&lt;=$E236),VLOOKUP($F236,$K$2:AN$8,Z$1,"Falsch"),"")</f>
        <v/>
      </c>
      <c r="AA236" s="16" t="str">
        <f>IF(AND(AA$10&gt;=$D236,AA$11&lt;=$E236),VLOOKUP($F236,$K$2:AO$8,AA$1,"Falsch"),"")</f>
        <v/>
      </c>
      <c r="AB236" s="16" t="str">
        <f>IF(AND(AB$10&gt;=$D236,AB$11&lt;=$E236),VLOOKUP($F236,$K$2:AP$8,AB$1,"Falsch"),"")</f>
        <v/>
      </c>
      <c r="AC236" s="16" t="str">
        <f>IF(AND(AC$10&gt;=$D236,AC$11&lt;=$E236),VLOOKUP($F236,$K$2:AQ$8,AC$1,"Falsch"),"")</f>
        <v/>
      </c>
      <c r="AD236" s="16" t="str">
        <f>IF(AND(AD$10&gt;=$D236,AD$11&lt;=$E236),VLOOKUP($F236,$K$2:AR$8,AD$1,"Falsch"),"")</f>
        <v/>
      </c>
    </row>
    <row r="237" spans="9:30" x14ac:dyDescent="0.25">
      <c r="I237" s="21">
        <f t="shared" si="37"/>
        <v>0</v>
      </c>
      <c r="K237" s="25">
        <f t="shared" si="36"/>
        <v>0</v>
      </c>
      <c r="L237" s="16" t="str">
        <f>IF(AND(L$10&gt;=$D237,L$11&lt;=$E237),VLOOKUP($F237,$K$2:Z$8,L$1,"Falsch"),"")</f>
        <v/>
      </c>
      <c r="M237" s="16" t="str">
        <f>IF(AND(M$10&gt;=$D237,M$11&lt;=$E237),VLOOKUP($F237,$K$2:AA$8,M$1,"Falsch"),"")</f>
        <v/>
      </c>
      <c r="N237" s="16" t="str">
        <f>IF(AND(N$10&gt;=$D237,N$11&lt;=$E237),VLOOKUP($F237,$K$2:AB$8,N$1,"Falsch"),"")</f>
        <v/>
      </c>
      <c r="O237" s="16" t="str">
        <f>IF(AND(O$10&gt;=$D237,O$11&lt;=$E237),VLOOKUP($F237,$K$2:AC$8,O$1,"Falsch"),"")</f>
        <v/>
      </c>
      <c r="P237" s="16" t="str">
        <f>IF(AND(P$10&gt;=$D237,P$11&lt;=$E237),VLOOKUP($F237,$K$2:AD$8,P$1,"Falsch"),"")</f>
        <v/>
      </c>
      <c r="Q237" s="16" t="str">
        <f>IF(AND(Q$10&gt;=$D237,Q$11&lt;=$E237),VLOOKUP($F237,$K$2:AE$8,Q$1,"Falsch"),"")</f>
        <v/>
      </c>
      <c r="R237" s="16" t="str">
        <f>IF(AND(R$10&gt;=$D237,R$11&lt;=$E237),VLOOKUP($F237,$K$2:AF$8,R$1,"Falsch"),"")</f>
        <v/>
      </c>
      <c r="S237" s="16" t="str">
        <f>IF(AND(S$10&gt;=$D237,S$11&lt;=$E237),VLOOKUP($F237,$K$2:AG$8,S$1,"Falsch"),"")</f>
        <v/>
      </c>
      <c r="T237" s="16" t="str">
        <f>IF(AND(T$10&gt;=$D237,T$11&lt;=$E237),VLOOKUP($F237,$K$2:AH$8,T$1,"Falsch"),"")</f>
        <v/>
      </c>
      <c r="U237" s="16" t="str">
        <f>IF(AND(U$10&gt;=$D237,U$11&lt;=$E237),VLOOKUP($F237,$K$2:AI$8,U$1,"Falsch"),"")</f>
        <v/>
      </c>
      <c r="V237" s="16" t="str">
        <f>IF(AND(V$10&gt;=$D237,V$11&lt;=$E237),VLOOKUP($F237,$K$2:AJ$8,V$1,"Falsch"),"")</f>
        <v/>
      </c>
      <c r="W237" s="16" t="str">
        <f>IF(AND(W$10&gt;=$D237,W$11&lt;=$E237),VLOOKUP($F237,$K$2:AK$8,W$1,"Falsch"),"")</f>
        <v/>
      </c>
      <c r="X237" s="16" t="str">
        <f>IF(AND(X$10&gt;=$D237,X$11&lt;=$E237),VLOOKUP($F237,$K$2:AL$8,X$1,"Falsch"),"")</f>
        <v/>
      </c>
      <c r="Y237" s="16" t="str">
        <f>IF(AND(Y$10&gt;=$D237,Y$11&lt;=$E237),VLOOKUP($F237,$K$2:AM$8,Y$1,"Falsch"),"")</f>
        <v/>
      </c>
      <c r="Z237" s="16" t="str">
        <f>IF(AND(Z$10&gt;=$D237,Z$11&lt;=$E237),VLOOKUP($F237,$K$2:AN$8,Z$1,"Falsch"),"")</f>
        <v/>
      </c>
      <c r="AA237" s="16" t="str">
        <f>IF(AND(AA$10&gt;=$D237,AA$11&lt;=$E237),VLOOKUP($F237,$K$2:AO$8,AA$1,"Falsch"),"")</f>
        <v/>
      </c>
      <c r="AB237" s="16" t="str">
        <f>IF(AND(AB$10&gt;=$D237,AB$11&lt;=$E237),VLOOKUP($F237,$K$2:AP$8,AB$1,"Falsch"),"")</f>
        <v/>
      </c>
      <c r="AC237" s="16" t="str">
        <f>IF(AND(AC$10&gt;=$D237,AC$11&lt;=$E237),VLOOKUP($F237,$K$2:AQ$8,AC$1,"Falsch"),"")</f>
        <v/>
      </c>
      <c r="AD237" s="16" t="str">
        <f>IF(AND(AD$10&gt;=$D237,AD$11&lt;=$E237),VLOOKUP($F237,$K$2:AR$8,AD$1,"Falsch"),"")</f>
        <v/>
      </c>
    </row>
    <row r="238" spans="9:30" x14ac:dyDescent="0.25">
      <c r="I238" s="21">
        <f t="shared" si="37"/>
        <v>0</v>
      </c>
      <c r="K238" s="25">
        <f t="shared" si="36"/>
        <v>0</v>
      </c>
      <c r="L238" s="16" t="str">
        <f>IF(AND(L$10&gt;=$D238,L$11&lt;=$E238),VLOOKUP($F238,$K$2:Z$8,L$1,"Falsch"),"")</f>
        <v/>
      </c>
      <c r="M238" s="16" t="str">
        <f>IF(AND(M$10&gt;=$D238,M$11&lt;=$E238),VLOOKUP($F238,$K$2:AA$8,M$1,"Falsch"),"")</f>
        <v/>
      </c>
      <c r="N238" s="16" t="str">
        <f>IF(AND(N$10&gt;=$D238,N$11&lt;=$E238),VLOOKUP($F238,$K$2:AB$8,N$1,"Falsch"),"")</f>
        <v/>
      </c>
      <c r="O238" s="16" t="str">
        <f>IF(AND(O$10&gt;=$D238,O$11&lt;=$E238),VLOOKUP($F238,$K$2:AC$8,O$1,"Falsch"),"")</f>
        <v/>
      </c>
      <c r="P238" s="16" t="str">
        <f>IF(AND(P$10&gt;=$D238,P$11&lt;=$E238),VLOOKUP($F238,$K$2:AD$8,P$1,"Falsch"),"")</f>
        <v/>
      </c>
      <c r="Q238" s="16" t="str">
        <f>IF(AND(Q$10&gt;=$D238,Q$11&lt;=$E238),VLOOKUP($F238,$K$2:AE$8,Q$1,"Falsch"),"")</f>
        <v/>
      </c>
      <c r="R238" s="16" t="str">
        <f>IF(AND(R$10&gt;=$D238,R$11&lt;=$E238),VLOOKUP($F238,$K$2:AF$8,R$1,"Falsch"),"")</f>
        <v/>
      </c>
      <c r="S238" s="16" t="str">
        <f>IF(AND(S$10&gt;=$D238,S$11&lt;=$E238),VLOOKUP($F238,$K$2:AG$8,S$1,"Falsch"),"")</f>
        <v/>
      </c>
      <c r="T238" s="16" t="str">
        <f>IF(AND(T$10&gt;=$D238,T$11&lt;=$E238),VLOOKUP($F238,$K$2:AH$8,T$1,"Falsch"),"")</f>
        <v/>
      </c>
      <c r="U238" s="16" t="str">
        <f>IF(AND(U$10&gt;=$D238,U$11&lt;=$E238),VLOOKUP($F238,$K$2:AI$8,U$1,"Falsch"),"")</f>
        <v/>
      </c>
      <c r="V238" s="16" t="str">
        <f>IF(AND(V$10&gt;=$D238,V$11&lt;=$E238),VLOOKUP($F238,$K$2:AJ$8,V$1,"Falsch"),"")</f>
        <v/>
      </c>
      <c r="W238" s="16" t="str">
        <f>IF(AND(W$10&gt;=$D238,W$11&lt;=$E238),VLOOKUP($F238,$K$2:AK$8,W$1,"Falsch"),"")</f>
        <v/>
      </c>
      <c r="X238" s="16" t="str">
        <f>IF(AND(X$10&gt;=$D238,X$11&lt;=$E238),VLOOKUP($F238,$K$2:AL$8,X$1,"Falsch"),"")</f>
        <v/>
      </c>
      <c r="Y238" s="16" t="str">
        <f>IF(AND(Y$10&gt;=$D238,Y$11&lt;=$E238),VLOOKUP($F238,$K$2:AM$8,Y$1,"Falsch"),"")</f>
        <v/>
      </c>
      <c r="Z238" s="16" t="str">
        <f>IF(AND(Z$10&gt;=$D238,Z$11&lt;=$E238),VLOOKUP($F238,$K$2:AN$8,Z$1,"Falsch"),"")</f>
        <v/>
      </c>
      <c r="AA238" s="16" t="str">
        <f>IF(AND(AA$10&gt;=$D238,AA$11&lt;=$E238),VLOOKUP($F238,$K$2:AO$8,AA$1,"Falsch"),"")</f>
        <v/>
      </c>
      <c r="AB238" s="16" t="str">
        <f>IF(AND(AB$10&gt;=$D238,AB$11&lt;=$E238),VLOOKUP($F238,$K$2:AP$8,AB$1,"Falsch"),"")</f>
        <v/>
      </c>
      <c r="AC238" s="16" t="str">
        <f>IF(AND(AC$10&gt;=$D238,AC$11&lt;=$E238),VLOOKUP($F238,$K$2:AQ$8,AC$1,"Falsch"),"")</f>
        <v/>
      </c>
      <c r="AD238" s="16" t="str">
        <f>IF(AND(AD$10&gt;=$D238,AD$11&lt;=$E238),VLOOKUP($F238,$K$2:AR$8,AD$1,"Falsch"),"")</f>
        <v/>
      </c>
    </row>
    <row r="239" spans="9:30" x14ac:dyDescent="0.25">
      <c r="I239" s="21">
        <f t="shared" si="37"/>
        <v>0</v>
      </c>
      <c r="K239" s="25">
        <f t="shared" si="36"/>
        <v>0</v>
      </c>
      <c r="L239" s="16" t="str">
        <f>IF(AND(L$10&gt;=$D239,L$11&lt;=$E239),VLOOKUP($F239,$K$2:Z$8,L$1,"Falsch"),"")</f>
        <v/>
      </c>
      <c r="M239" s="16" t="str">
        <f>IF(AND(M$10&gt;=$D239,M$11&lt;=$E239),VLOOKUP($F239,$K$2:AA$8,M$1,"Falsch"),"")</f>
        <v/>
      </c>
      <c r="N239" s="16" t="str">
        <f>IF(AND(N$10&gt;=$D239,N$11&lt;=$E239),VLOOKUP($F239,$K$2:AB$8,N$1,"Falsch"),"")</f>
        <v/>
      </c>
      <c r="O239" s="16" t="str">
        <f>IF(AND(O$10&gt;=$D239,O$11&lt;=$E239),VLOOKUP($F239,$K$2:AC$8,O$1,"Falsch"),"")</f>
        <v/>
      </c>
      <c r="P239" s="16" t="str">
        <f>IF(AND(P$10&gt;=$D239,P$11&lt;=$E239),VLOOKUP($F239,$K$2:AD$8,P$1,"Falsch"),"")</f>
        <v/>
      </c>
      <c r="Q239" s="16" t="str">
        <f>IF(AND(Q$10&gt;=$D239,Q$11&lt;=$E239),VLOOKUP($F239,$K$2:AE$8,Q$1,"Falsch"),"")</f>
        <v/>
      </c>
      <c r="R239" s="16" t="str">
        <f>IF(AND(R$10&gt;=$D239,R$11&lt;=$E239),VLOOKUP($F239,$K$2:AF$8,R$1,"Falsch"),"")</f>
        <v/>
      </c>
      <c r="S239" s="16" t="str">
        <f>IF(AND(S$10&gt;=$D239,S$11&lt;=$E239),VLOOKUP($F239,$K$2:AG$8,S$1,"Falsch"),"")</f>
        <v/>
      </c>
      <c r="T239" s="16" t="str">
        <f>IF(AND(T$10&gt;=$D239,T$11&lt;=$E239),VLOOKUP($F239,$K$2:AH$8,T$1,"Falsch"),"")</f>
        <v/>
      </c>
      <c r="U239" s="16" t="str">
        <f>IF(AND(U$10&gt;=$D239,U$11&lt;=$E239),VLOOKUP($F239,$K$2:AI$8,U$1,"Falsch"),"")</f>
        <v/>
      </c>
      <c r="V239" s="16" t="str">
        <f>IF(AND(V$10&gt;=$D239,V$11&lt;=$E239),VLOOKUP($F239,$K$2:AJ$8,V$1,"Falsch"),"")</f>
        <v/>
      </c>
      <c r="W239" s="16" t="str">
        <f>IF(AND(W$10&gt;=$D239,W$11&lt;=$E239),VLOOKUP($F239,$K$2:AK$8,W$1,"Falsch"),"")</f>
        <v/>
      </c>
      <c r="X239" s="16" t="str">
        <f>IF(AND(X$10&gt;=$D239,X$11&lt;=$E239),VLOOKUP($F239,$K$2:AL$8,X$1,"Falsch"),"")</f>
        <v/>
      </c>
      <c r="Y239" s="16" t="str">
        <f>IF(AND(Y$10&gt;=$D239,Y$11&lt;=$E239),VLOOKUP($F239,$K$2:AM$8,Y$1,"Falsch"),"")</f>
        <v/>
      </c>
      <c r="Z239" s="16" t="str">
        <f>IF(AND(Z$10&gt;=$D239,Z$11&lt;=$E239),VLOOKUP($F239,$K$2:AN$8,Z$1,"Falsch"),"")</f>
        <v/>
      </c>
      <c r="AA239" s="16" t="str">
        <f>IF(AND(AA$10&gt;=$D239,AA$11&lt;=$E239),VLOOKUP($F239,$K$2:AO$8,AA$1,"Falsch"),"")</f>
        <v/>
      </c>
      <c r="AB239" s="16" t="str">
        <f>IF(AND(AB$10&gt;=$D239,AB$11&lt;=$E239),VLOOKUP($F239,$K$2:AP$8,AB$1,"Falsch"),"")</f>
        <v/>
      </c>
      <c r="AC239" s="16" t="str">
        <f>IF(AND(AC$10&gt;=$D239,AC$11&lt;=$E239),VLOOKUP($F239,$K$2:AQ$8,AC$1,"Falsch"),"")</f>
        <v/>
      </c>
      <c r="AD239" s="16" t="str">
        <f>IF(AND(AD$10&gt;=$D239,AD$11&lt;=$E239),VLOOKUP($F239,$K$2:AR$8,AD$1,"Falsch"),"")</f>
        <v/>
      </c>
    </row>
    <row r="240" spans="9:30" x14ac:dyDescent="0.25">
      <c r="I240" s="21">
        <f t="shared" si="37"/>
        <v>0</v>
      </c>
      <c r="K240" s="25">
        <f t="shared" si="36"/>
        <v>0</v>
      </c>
      <c r="L240" s="16" t="str">
        <f>IF(AND(L$10&gt;=$D240,L$11&lt;=$E240),VLOOKUP($F240,$K$2:Z$8,L$1,"Falsch"),"")</f>
        <v/>
      </c>
      <c r="M240" s="16" t="str">
        <f>IF(AND(M$10&gt;=$D240,M$11&lt;=$E240),VLOOKUP($F240,$K$2:AA$8,M$1,"Falsch"),"")</f>
        <v/>
      </c>
      <c r="N240" s="16" t="str">
        <f>IF(AND(N$10&gt;=$D240,N$11&lt;=$E240),VLOOKUP($F240,$K$2:AB$8,N$1,"Falsch"),"")</f>
        <v/>
      </c>
      <c r="O240" s="16" t="str">
        <f>IF(AND(O$10&gt;=$D240,O$11&lt;=$E240),VLOOKUP($F240,$K$2:AC$8,O$1,"Falsch"),"")</f>
        <v/>
      </c>
      <c r="P240" s="16" t="str">
        <f>IF(AND(P$10&gt;=$D240,P$11&lt;=$E240),VLOOKUP($F240,$K$2:AD$8,P$1,"Falsch"),"")</f>
        <v/>
      </c>
      <c r="Q240" s="16" t="str">
        <f>IF(AND(Q$10&gt;=$D240,Q$11&lt;=$E240),VLOOKUP($F240,$K$2:AE$8,Q$1,"Falsch"),"")</f>
        <v/>
      </c>
      <c r="R240" s="16" t="str">
        <f>IF(AND(R$10&gt;=$D240,R$11&lt;=$E240),VLOOKUP($F240,$K$2:AF$8,R$1,"Falsch"),"")</f>
        <v/>
      </c>
      <c r="S240" s="16" t="str">
        <f>IF(AND(S$10&gt;=$D240,S$11&lt;=$E240),VLOOKUP($F240,$K$2:AG$8,S$1,"Falsch"),"")</f>
        <v/>
      </c>
      <c r="T240" s="16" t="str">
        <f>IF(AND(T$10&gt;=$D240,T$11&lt;=$E240),VLOOKUP($F240,$K$2:AH$8,T$1,"Falsch"),"")</f>
        <v/>
      </c>
      <c r="U240" s="16" t="str">
        <f>IF(AND(U$10&gt;=$D240,U$11&lt;=$E240),VLOOKUP($F240,$K$2:AI$8,U$1,"Falsch"),"")</f>
        <v/>
      </c>
      <c r="V240" s="16" t="str">
        <f>IF(AND(V$10&gt;=$D240,V$11&lt;=$E240),VLOOKUP($F240,$K$2:AJ$8,V$1,"Falsch"),"")</f>
        <v/>
      </c>
      <c r="W240" s="16" t="str">
        <f>IF(AND(W$10&gt;=$D240,W$11&lt;=$E240),VLOOKUP($F240,$K$2:AK$8,W$1,"Falsch"),"")</f>
        <v/>
      </c>
      <c r="X240" s="16" t="str">
        <f>IF(AND(X$10&gt;=$D240,X$11&lt;=$E240),VLOOKUP($F240,$K$2:AL$8,X$1,"Falsch"),"")</f>
        <v/>
      </c>
      <c r="Y240" s="16" t="str">
        <f>IF(AND(Y$10&gt;=$D240,Y$11&lt;=$E240),VLOOKUP($F240,$K$2:AM$8,Y$1,"Falsch"),"")</f>
        <v/>
      </c>
      <c r="Z240" s="16" t="str">
        <f>IF(AND(Z$10&gt;=$D240,Z$11&lt;=$E240),VLOOKUP($F240,$K$2:AN$8,Z$1,"Falsch"),"")</f>
        <v/>
      </c>
      <c r="AA240" s="16" t="str">
        <f>IF(AND(AA$10&gt;=$D240,AA$11&lt;=$E240),VLOOKUP($F240,$K$2:AO$8,AA$1,"Falsch"),"")</f>
        <v/>
      </c>
      <c r="AB240" s="16" t="str">
        <f>IF(AND(AB$10&gt;=$D240,AB$11&lt;=$E240),VLOOKUP($F240,$K$2:AP$8,AB$1,"Falsch"),"")</f>
        <v/>
      </c>
      <c r="AC240" s="16" t="str">
        <f>IF(AND(AC$10&gt;=$D240,AC$11&lt;=$E240),VLOOKUP($F240,$K$2:AQ$8,AC$1,"Falsch"),"")</f>
        <v/>
      </c>
      <c r="AD240" s="16" t="str">
        <f>IF(AND(AD$10&gt;=$D240,AD$11&lt;=$E240),VLOOKUP($F240,$K$2:AR$8,AD$1,"Falsch"),"")</f>
        <v/>
      </c>
    </row>
    <row r="241" spans="9:30" x14ac:dyDescent="0.25">
      <c r="I241" s="21">
        <f t="shared" si="37"/>
        <v>0</v>
      </c>
      <c r="K241" s="25">
        <f t="shared" si="36"/>
        <v>0</v>
      </c>
      <c r="L241" s="16" t="str">
        <f>IF(AND(L$10&gt;=$D241,L$11&lt;=$E241),VLOOKUP($F241,$K$2:Z$8,L$1,"Falsch"),"")</f>
        <v/>
      </c>
      <c r="M241" s="16" t="str">
        <f>IF(AND(M$10&gt;=$D241,M$11&lt;=$E241),VLOOKUP($F241,$K$2:AA$8,M$1,"Falsch"),"")</f>
        <v/>
      </c>
      <c r="N241" s="16" t="str">
        <f>IF(AND(N$10&gt;=$D241,N$11&lt;=$E241),VLOOKUP($F241,$K$2:AB$8,N$1,"Falsch"),"")</f>
        <v/>
      </c>
      <c r="O241" s="16" t="str">
        <f>IF(AND(O$10&gt;=$D241,O$11&lt;=$E241),VLOOKUP($F241,$K$2:AC$8,O$1,"Falsch"),"")</f>
        <v/>
      </c>
      <c r="P241" s="16" t="str">
        <f>IF(AND(P$10&gt;=$D241,P$11&lt;=$E241),VLOOKUP($F241,$K$2:AD$8,P$1,"Falsch"),"")</f>
        <v/>
      </c>
      <c r="Q241" s="16" t="str">
        <f>IF(AND(Q$10&gt;=$D241,Q$11&lt;=$E241),VLOOKUP($F241,$K$2:AE$8,Q$1,"Falsch"),"")</f>
        <v/>
      </c>
      <c r="R241" s="16" t="str">
        <f>IF(AND(R$10&gt;=$D241,R$11&lt;=$E241),VLOOKUP($F241,$K$2:AF$8,R$1,"Falsch"),"")</f>
        <v/>
      </c>
      <c r="S241" s="16" t="str">
        <f>IF(AND(S$10&gt;=$D241,S$11&lt;=$E241),VLOOKUP($F241,$K$2:AG$8,S$1,"Falsch"),"")</f>
        <v/>
      </c>
      <c r="T241" s="16" t="str">
        <f>IF(AND(T$10&gt;=$D241,T$11&lt;=$E241),VLOOKUP($F241,$K$2:AH$8,T$1,"Falsch"),"")</f>
        <v/>
      </c>
      <c r="U241" s="16" t="str">
        <f>IF(AND(U$10&gt;=$D241,U$11&lt;=$E241),VLOOKUP($F241,$K$2:AI$8,U$1,"Falsch"),"")</f>
        <v/>
      </c>
      <c r="V241" s="16" t="str">
        <f>IF(AND(V$10&gt;=$D241,V$11&lt;=$E241),VLOOKUP($F241,$K$2:AJ$8,V$1,"Falsch"),"")</f>
        <v/>
      </c>
      <c r="W241" s="16" t="str">
        <f>IF(AND(W$10&gt;=$D241,W$11&lt;=$E241),VLOOKUP($F241,$K$2:AK$8,W$1,"Falsch"),"")</f>
        <v/>
      </c>
      <c r="X241" s="16" t="str">
        <f>IF(AND(X$10&gt;=$D241,X$11&lt;=$E241),VLOOKUP($F241,$K$2:AL$8,X$1,"Falsch"),"")</f>
        <v/>
      </c>
      <c r="Y241" s="16" t="str">
        <f>IF(AND(Y$10&gt;=$D241,Y$11&lt;=$E241),VLOOKUP($F241,$K$2:AM$8,Y$1,"Falsch"),"")</f>
        <v/>
      </c>
      <c r="Z241" s="16" t="str">
        <f>IF(AND(Z$10&gt;=$D241,Z$11&lt;=$E241),VLOOKUP($F241,$K$2:AN$8,Z$1,"Falsch"),"")</f>
        <v/>
      </c>
      <c r="AA241" s="16" t="str">
        <f>IF(AND(AA$10&gt;=$D241,AA$11&lt;=$E241),VLOOKUP($F241,$K$2:AO$8,AA$1,"Falsch"),"")</f>
        <v/>
      </c>
      <c r="AB241" s="16" t="str">
        <f>IF(AND(AB$10&gt;=$D241,AB$11&lt;=$E241),VLOOKUP($F241,$K$2:AP$8,AB$1,"Falsch"),"")</f>
        <v/>
      </c>
      <c r="AC241" s="16" t="str">
        <f>IF(AND(AC$10&gt;=$D241,AC$11&lt;=$E241),VLOOKUP($F241,$K$2:AQ$8,AC$1,"Falsch"),"")</f>
        <v/>
      </c>
      <c r="AD241" s="16" t="str">
        <f>IF(AND(AD$10&gt;=$D241,AD$11&lt;=$E241),VLOOKUP($F241,$K$2:AR$8,AD$1,"Falsch"),"")</f>
        <v/>
      </c>
    </row>
    <row r="242" spans="9:30" x14ac:dyDescent="0.25">
      <c r="I242" s="21">
        <f t="shared" si="37"/>
        <v>0</v>
      </c>
      <c r="K242" s="25">
        <f t="shared" si="36"/>
        <v>0</v>
      </c>
      <c r="L242" s="16" t="str">
        <f>IF(AND(L$10&gt;=$D242,L$11&lt;=$E242),VLOOKUP($F242,$K$2:Z$8,L$1,"Falsch"),"")</f>
        <v/>
      </c>
      <c r="M242" s="16" t="str">
        <f>IF(AND(M$10&gt;=$D242,M$11&lt;=$E242),VLOOKUP($F242,$K$2:AA$8,M$1,"Falsch"),"")</f>
        <v/>
      </c>
      <c r="N242" s="16" t="str">
        <f>IF(AND(N$10&gt;=$D242,N$11&lt;=$E242),VLOOKUP($F242,$K$2:AB$8,N$1,"Falsch"),"")</f>
        <v/>
      </c>
      <c r="O242" s="16" t="str">
        <f>IF(AND(O$10&gt;=$D242,O$11&lt;=$E242),VLOOKUP($F242,$K$2:AC$8,O$1,"Falsch"),"")</f>
        <v/>
      </c>
      <c r="P242" s="16" t="str">
        <f>IF(AND(P$10&gt;=$D242,P$11&lt;=$E242),VLOOKUP($F242,$K$2:AD$8,P$1,"Falsch"),"")</f>
        <v/>
      </c>
      <c r="Q242" s="16" t="str">
        <f>IF(AND(Q$10&gt;=$D242,Q$11&lt;=$E242),VLOOKUP($F242,$K$2:AE$8,Q$1,"Falsch"),"")</f>
        <v/>
      </c>
      <c r="R242" s="16" t="str">
        <f>IF(AND(R$10&gt;=$D242,R$11&lt;=$E242),VLOOKUP($F242,$K$2:AF$8,R$1,"Falsch"),"")</f>
        <v/>
      </c>
      <c r="S242" s="16" t="str">
        <f>IF(AND(S$10&gt;=$D242,S$11&lt;=$E242),VLOOKUP($F242,$K$2:AG$8,S$1,"Falsch"),"")</f>
        <v/>
      </c>
      <c r="T242" s="16" t="str">
        <f>IF(AND(T$10&gt;=$D242,T$11&lt;=$E242),VLOOKUP($F242,$K$2:AH$8,T$1,"Falsch"),"")</f>
        <v/>
      </c>
      <c r="U242" s="16" t="str">
        <f>IF(AND(U$10&gt;=$D242,U$11&lt;=$E242),VLOOKUP($F242,$K$2:AI$8,U$1,"Falsch"),"")</f>
        <v/>
      </c>
      <c r="V242" s="16" t="str">
        <f>IF(AND(V$10&gt;=$D242,V$11&lt;=$E242),VLOOKUP($F242,$K$2:AJ$8,V$1,"Falsch"),"")</f>
        <v/>
      </c>
      <c r="W242" s="16" t="str">
        <f>IF(AND(W$10&gt;=$D242,W$11&lt;=$E242),VLOOKUP($F242,$K$2:AK$8,W$1,"Falsch"),"")</f>
        <v/>
      </c>
      <c r="X242" s="16" t="str">
        <f>IF(AND(X$10&gt;=$D242,X$11&lt;=$E242),VLOOKUP($F242,$K$2:AL$8,X$1,"Falsch"),"")</f>
        <v/>
      </c>
      <c r="Y242" s="16" t="str">
        <f>IF(AND(Y$10&gt;=$D242,Y$11&lt;=$E242),VLOOKUP($F242,$K$2:AM$8,Y$1,"Falsch"),"")</f>
        <v/>
      </c>
      <c r="Z242" s="16" t="str">
        <f>IF(AND(Z$10&gt;=$D242,Z$11&lt;=$E242),VLOOKUP($F242,$K$2:AN$8,Z$1,"Falsch"),"")</f>
        <v/>
      </c>
      <c r="AA242" s="16" t="str">
        <f>IF(AND(AA$10&gt;=$D242,AA$11&lt;=$E242),VLOOKUP($F242,$K$2:AO$8,AA$1,"Falsch"),"")</f>
        <v/>
      </c>
      <c r="AB242" s="16" t="str">
        <f>IF(AND(AB$10&gt;=$D242,AB$11&lt;=$E242),VLOOKUP($F242,$K$2:AP$8,AB$1,"Falsch"),"")</f>
        <v/>
      </c>
      <c r="AC242" s="16" t="str">
        <f>IF(AND(AC$10&gt;=$D242,AC$11&lt;=$E242),VLOOKUP($F242,$K$2:AQ$8,AC$1,"Falsch"),"")</f>
        <v/>
      </c>
      <c r="AD242" s="16" t="str">
        <f>IF(AND(AD$10&gt;=$D242,AD$11&lt;=$E242),VLOOKUP($F242,$K$2:AR$8,AD$1,"Falsch"),"")</f>
        <v/>
      </c>
    </row>
    <row r="243" spans="9:30" x14ac:dyDescent="0.25">
      <c r="I243" s="21">
        <f t="shared" si="37"/>
        <v>0</v>
      </c>
      <c r="K243" s="25">
        <f t="shared" si="36"/>
        <v>0</v>
      </c>
      <c r="L243" s="16" t="str">
        <f>IF(AND(L$10&gt;=$D243,L$11&lt;=$E243),VLOOKUP($F243,$K$2:Z$8,L$1,"Falsch"),"")</f>
        <v/>
      </c>
      <c r="M243" s="16" t="str">
        <f>IF(AND(M$10&gt;=$D243,M$11&lt;=$E243),VLOOKUP($F243,$K$2:AA$8,M$1,"Falsch"),"")</f>
        <v/>
      </c>
      <c r="N243" s="16" t="str">
        <f>IF(AND(N$10&gt;=$D243,N$11&lt;=$E243),VLOOKUP($F243,$K$2:AB$8,N$1,"Falsch"),"")</f>
        <v/>
      </c>
      <c r="O243" s="16" t="str">
        <f>IF(AND(O$10&gt;=$D243,O$11&lt;=$E243),VLOOKUP($F243,$K$2:AC$8,O$1,"Falsch"),"")</f>
        <v/>
      </c>
      <c r="P243" s="16" t="str">
        <f>IF(AND(P$10&gt;=$D243,P$11&lt;=$E243),VLOOKUP($F243,$K$2:AD$8,P$1,"Falsch"),"")</f>
        <v/>
      </c>
      <c r="Q243" s="16" t="str">
        <f>IF(AND(Q$10&gt;=$D243,Q$11&lt;=$E243),VLOOKUP($F243,$K$2:AE$8,Q$1,"Falsch"),"")</f>
        <v/>
      </c>
      <c r="R243" s="16" t="str">
        <f>IF(AND(R$10&gt;=$D243,R$11&lt;=$E243),VLOOKUP($F243,$K$2:AF$8,R$1,"Falsch"),"")</f>
        <v/>
      </c>
      <c r="S243" s="16" t="str">
        <f>IF(AND(S$10&gt;=$D243,S$11&lt;=$E243),VLOOKUP($F243,$K$2:AG$8,S$1,"Falsch"),"")</f>
        <v/>
      </c>
      <c r="T243" s="16" t="str">
        <f>IF(AND(T$10&gt;=$D243,T$11&lt;=$E243),VLOOKUP($F243,$K$2:AH$8,T$1,"Falsch"),"")</f>
        <v/>
      </c>
      <c r="U243" s="16" t="str">
        <f>IF(AND(U$10&gt;=$D243,U$11&lt;=$E243),VLOOKUP($F243,$K$2:AI$8,U$1,"Falsch"),"")</f>
        <v/>
      </c>
      <c r="V243" s="16" t="str">
        <f>IF(AND(V$10&gt;=$D243,V$11&lt;=$E243),VLOOKUP($F243,$K$2:AJ$8,V$1,"Falsch"),"")</f>
        <v/>
      </c>
      <c r="W243" s="16" t="str">
        <f>IF(AND(W$10&gt;=$D243,W$11&lt;=$E243),VLOOKUP($F243,$K$2:AK$8,W$1,"Falsch"),"")</f>
        <v/>
      </c>
      <c r="X243" s="16" t="str">
        <f>IF(AND(X$10&gt;=$D243,X$11&lt;=$E243),VLOOKUP($F243,$K$2:AL$8,X$1,"Falsch"),"")</f>
        <v/>
      </c>
      <c r="Y243" s="16" t="str">
        <f>IF(AND(Y$10&gt;=$D243,Y$11&lt;=$E243),VLOOKUP($F243,$K$2:AM$8,Y$1,"Falsch"),"")</f>
        <v/>
      </c>
      <c r="Z243" s="16" t="str">
        <f>IF(AND(Z$10&gt;=$D243,Z$11&lt;=$E243),VLOOKUP($F243,$K$2:AN$8,Z$1,"Falsch"),"")</f>
        <v/>
      </c>
      <c r="AA243" s="16" t="str">
        <f>IF(AND(AA$10&gt;=$D243,AA$11&lt;=$E243),VLOOKUP($F243,$K$2:AO$8,AA$1,"Falsch"),"")</f>
        <v/>
      </c>
      <c r="AB243" s="16" t="str">
        <f>IF(AND(AB$10&gt;=$D243,AB$11&lt;=$E243),VLOOKUP($F243,$K$2:AP$8,AB$1,"Falsch"),"")</f>
        <v/>
      </c>
      <c r="AC243" s="16" t="str">
        <f>IF(AND(AC$10&gt;=$D243,AC$11&lt;=$E243),VLOOKUP($F243,$K$2:AQ$8,AC$1,"Falsch"),"")</f>
        <v/>
      </c>
      <c r="AD243" s="16" t="str">
        <f>IF(AND(AD$10&gt;=$D243,AD$11&lt;=$E243),VLOOKUP($F243,$K$2:AR$8,AD$1,"Falsch"),"")</f>
        <v/>
      </c>
    </row>
    <row r="244" spans="9:30" x14ac:dyDescent="0.25">
      <c r="I244" s="21">
        <f t="shared" si="37"/>
        <v>0</v>
      </c>
      <c r="K244" s="25">
        <f t="shared" si="36"/>
        <v>0</v>
      </c>
      <c r="L244" s="16" t="str">
        <f>IF(AND(L$10&gt;=$D244,L$11&lt;=$E244),VLOOKUP($F244,$K$2:Z$8,L$1,"Falsch"),"")</f>
        <v/>
      </c>
      <c r="M244" s="16" t="str">
        <f>IF(AND(M$10&gt;=$D244,M$11&lt;=$E244),VLOOKUP($F244,$K$2:AA$8,M$1,"Falsch"),"")</f>
        <v/>
      </c>
      <c r="N244" s="16" t="str">
        <f>IF(AND(N$10&gt;=$D244,N$11&lt;=$E244),VLOOKUP($F244,$K$2:AB$8,N$1,"Falsch"),"")</f>
        <v/>
      </c>
      <c r="O244" s="16" t="str">
        <f>IF(AND(O$10&gt;=$D244,O$11&lt;=$E244),VLOOKUP($F244,$K$2:AC$8,O$1,"Falsch"),"")</f>
        <v/>
      </c>
      <c r="P244" s="16" t="str">
        <f>IF(AND(P$10&gt;=$D244,P$11&lt;=$E244),VLOOKUP($F244,$K$2:AD$8,P$1,"Falsch"),"")</f>
        <v/>
      </c>
      <c r="Q244" s="16" t="str">
        <f>IF(AND(Q$10&gt;=$D244,Q$11&lt;=$E244),VLOOKUP($F244,$K$2:AE$8,Q$1,"Falsch"),"")</f>
        <v/>
      </c>
      <c r="R244" s="16" t="str">
        <f>IF(AND(R$10&gt;=$D244,R$11&lt;=$E244),VLOOKUP($F244,$K$2:AF$8,R$1,"Falsch"),"")</f>
        <v/>
      </c>
      <c r="S244" s="16" t="str">
        <f>IF(AND(S$10&gt;=$D244,S$11&lt;=$E244),VLOOKUP($F244,$K$2:AG$8,S$1,"Falsch"),"")</f>
        <v/>
      </c>
      <c r="T244" s="16" t="str">
        <f>IF(AND(T$10&gt;=$D244,T$11&lt;=$E244),VLOOKUP($F244,$K$2:AH$8,T$1,"Falsch"),"")</f>
        <v/>
      </c>
      <c r="U244" s="16" t="str">
        <f>IF(AND(U$10&gt;=$D244,U$11&lt;=$E244),VLOOKUP($F244,$K$2:AI$8,U$1,"Falsch"),"")</f>
        <v/>
      </c>
      <c r="V244" s="16" t="str">
        <f>IF(AND(V$10&gt;=$D244,V$11&lt;=$E244),VLOOKUP($F244,$K$2:AJ$8,V$1,"Falsch"),"")</f>
        <v/>
      </c>
      <c r="W244" s="16" t="str">
        <f>IF(AND(W$10&gt;=$D244,W$11&lt;=$E244),VLOOKUP($F244,$K$2:AK$8,W$1,"Falsch"),"")</f>
        <v/>
      </c>
      <c r="X244" s="16" t="str">
        <f>IF(AND(X$10&gt;=$D244,X$11&lt;=$E244),VLOOKUP($F244,$K$2:AL$8,X$1,"Falsch"),"")</f>
        <v/>
      </c>
      <c r="Y244" s="16" t="str">
        <f>IF(AND(Y$10&gt;=$D244,Y$11&lt;=$E244),VLOOKUP($F244,$K$2:AM$8,Y$1,"Falsch"),"")</f>
        <v/>
      </c>
      <c r="Z244" s="16" t="str">
        <f>IF(AND(Z$10&gt;=$D244,Z$11&lt;=$E244),VLOOKUP($F244,$K$2:AN$8,Z$1,"Falsch"),"")</f>
        <v/>
      </c>
      <c r="AA244" s="16" t="str">
        <f>IF(AND(AA$10&gt;=$D244,AA$11&lt;=$E244),VLOOKUP($F244,$K$2:AO$8,AA$1,"Falsch"),"")</f>
        <v/>
      </c>
      <c r="AB244" s="16" t="str">
        <f>IF(AND(AB$10&gt;=$D244,AB$11&lt;=$E244),VLOOKUP($F244,$K$2:AP$8,AB$1,"Falsch"),"")</f>
        <v/>
      </c>
      <c r="AC244" s="16" t="str">
        <f>IF(AND(AC$10&gt;=$D244,AC$11&lt;=$E244),VLOOKUP($F244,$K$2:AQ$8,AC$1,"Falsch"),"")</f>
        <v/>
      </c>
      <c r="AD244" s="16" t="str">
        <f>IF(AND(AD$10&gt;=$D244,AD$11&lt;=$E244),VLOOKUP($F244,$K$2:AR$8,AD$1,"Falsch"),"")</f>
        <v/>
      </c>
    </row>
    <row r="245" spans="9:30" x14ac:dyDescent="0.25">
      <c r="I245" s="21">
        <f t="shared" si="37"/>
        <v>0</v>
      </c>
      <c r="K245" s="25">
        <f t="shared" si="36"/>
        <v>0</v>
      </c>
      <c r="L245" s="16" t="str">
        <f>IF(AND(L$10&gt;=$D245,L$11&lt;=$E245),VLOOKUP($F245,$K$2:Z$8,L$1,"Falsch"),"")</f>
        <v/>
      </c>
      <c r="M245" s="16" t="str">
        <f>IF(AND(M$10&gt;=$D245,M$11&lt;=$E245),VLOOKUP($F245,$K$2:AA$8,M$1,"Falsch"),"")</f>
        <v/>
      </c>
      <c r="N245" s="16" t="str">
        <f>IF(AND(N$10&gt;=$D245,N$11&lt;=$E245),VLOOKUP($F245,$K$2:AB$8,N$1,"Falsch"),"")</f>
        <v/>
      </c>
      <c r="O245" s="16" t="str">
        <f>IF(AND(O$10&gt;=$D245,O$11&lt;=$E245),VLOOKUP($F245,$K$2:AC$8,O$1,"Falsch"),"")</f>
        <v/>
      </c>
      <c r="P245" s="16" t="str">
        <f>IF(AND(P$10&gt;=$D245,P$11&lt;=$E245),VLOOKUP($F245,$K$2:AD$8,P$1,"Falsch"),"")</f>
        <v/>
      </c>
      <c r="Q245" s="16" t="str">
        <f>IF(AND(Q$10&gt;=$D245,Q$11&lt;=$E245),VLOOKUP($F245,$K$2:AE$8,Q$1,"Falsch"),"")</f>
        <v/>
      </c>
      <c r="R245" s="16" t="str">
        <f>IF(AND(R$10&gt;=$D245,R$11&lt;=$E245),VLOOKUP($F245,$K$2:AF$8,R$1,"Falsch"),"")</f>
        <v/>
      </c>
      <c r="S245" s="16" t="str">
        <f>IF(AND(S$10&gt;=$D245,S$11&lt;=$E245),VLOOKUP($F245,$K$2:AG$8,S$1,"Falsch"),"")</f>
        <v/>
      </c>
      <c r="T245" s="16" t="str">
        <f>IF(AND(T$10&gt;=$D245,T$11&lt;=$E245),VLOOKUP($F245,$K$2:AH$8,T$1,"Falsch"),"")</f>
        <v/>
      </c>
      <c r="U245" s="16" t="str">
        <f>IF(AND(U$10&gt;=$D245,U$11&lt;=$E245),VLOOKUP($F245,$K$2:AI$8,U$1,"Falsch"),"")</f>
        <v/>
      </c>
      <c r="V245" s="16" t="str">
        <f>IF(AND(V$10&gt;=$D245,V$11&lt;=$E245),VLOOKUP($F245,$K$2:AJ$8,V$1,"Falsch"),"")</f>
        <v/>
      </c>
      <c r="W245" s="16" t="str">
        <f>IF(AND(W$10&gt;=$D245,W$11&lt;=$E245),VLOOKUP($F245,$K$2:AK$8,W$1,"Falsch"),"")</f>
        <v/>
      </c>
      <c r="X245" s="16" t="str">
        <f>IF(AND(X$10&gt;=$D245,X$11&lt;=$E245),VLOOKUP($F245,$K$2:AL$8,X$1,"Falsch"),"")</f>
        <v/>
      </c>
      <c r="Y245" s="16" t="str">
        <f>IF(AND(Y$10&gt;=$D245,Y$11&lt;=$E245),VLOOKUP($F245,$K$2:AM$8,Y$1,"Falsch"),"")</f>
        <v/>
      </c>
      <c r="Z245" s="16" t="str">
        <f>IF(AND(Z$10&gt;=$D245,Z$11&lt;=$E245),VLOOKUP($F245,$K$2:AN$8,Z$1,"Falsch"),"")</f>
        <v/>
      </c>
      <c r="AA245" s="16" t="str">
        <f>IF(AND(AA$10&gt;=$D245,AA$11&lt;=$E245),VLOOKUP($F245,$K$2:AO$8,AA$1,"Falsch"),"")</f>
        <v/>
      </c>
      <c r="AB245" s="16" t="str">
        <f>IF(AND(AB$10&gt;=$D245,AB$11&lt;=$E245),VLOOKUP($F245,$K$2:AP$8,AB$1,"Falsch"),"")</f>
        <v/>
      </c>
      <c r="AC245" s="16" t="str">
        <f>IF(AND(AC$10&gt;=$D245,AC$11&lt;=$E245),VLOOKUP($F245,$K$2:AQ$8,AC$1,"Falsch"),"")</f>
        <v/>
      </c>
      <c r="AD245" s="16" t="str">
        <f>IF(AND(AD$10&gt;=$D245,AD$11&lt;=$E245),VLOOKUP($F245,$K$2:AR$8,AD$1,"Falsch"),"")</f>
        <v/>
      </c>
    </row>
    <row r="246" spans="9:30" x14ac:dyDescent="0.25">
      <c r="I246" s="21">
        <f t="shared" si="37"/>
        <v>0</v>
      </c>
      <c r="K246" s="25">
        <f t="shared" si="36"/>
        <v>0</v>
      </c>
      <c r="L246" s="16" t="str">
        <f>IF(AND(L$10&gt;=$D246,L$11&lt;=$E246),VLOOKUP($F246,$K$2:Z$8,L$1,"Falsch"),"")</f>
        <v/>
      </c>
      <c r="M246" s="16" t="str">
        <f>IF(AND(M$10&gt;=$D246,M$11&lt;=$E246),VLOOKUP($F246,$K$2:AA$8,M$1,"Falsch"),"")</f>
        <v/>
      </c>
      <c r="N246" s="16" t="str">
        <f>IF(AND(N$10&gt;=$D246,N$11&lt;=$E246),VLOOKUP($F246,$K$2:AB$8,N$1,"Falsch"),"")</f>
        <v/>
      </c>
      <c r="O246" s="16" t="str">
        <f>IF(AND(O$10&gt;=$D246,O$11&lt;=$E246),VLOOKUP($F246,$K$2:AC$8,O$1,"Falsch"),"")</f>
        <v/>
      </c>
      <c r="P246" s="16" t="str">
        <f>IF(AND(P$10&gt;=$D246,P$11&lt;=$E246),VLOOKUP($F246,$K$2:AD$8,P$1,"Falsch"),"")</f>
        <v/>
      </c>
      <c r="Q246" s="16" t="str">
        <f>IF(AND(Q$10&gt;=$D246,Q$11&lt;=$E246),VLOOKUP($F246,$K$2:AE$8,Q$1,"Falsch"),"")</f>
        <v/>
      </c>
      <c r="R246" s="16" t="str">
        <f>IF(AND(R$10&gt;=$D246,R$11&lt;=$E246),VLOOKUP($F246,$K$2:AF$8,R$1,"Falsch"),"")</f>
        <v/>
      </c>
      <c r="S246" s="16" t="str">
        <f>IF(AND(S$10&gt;=$D246,S$11&lt;=$E246),VLOOKUP($F246,$K$2:AG$8,S$1,"Falsch"),"")</f>
        <v/>
      </c>
      <c r="T246" s="16" t="str">
        <f>IF(AND(T$10&gt;=$D246,T$11&lt;=$E246),VLOOKUP($F246,$K$2:AH$8,T$1,"Falsch"),"")</f>
        <v/>
      </c>
      <c r="U246" s="16" t="str">
        <f>IF(AND(U$10&gt;=$D246,U$11&lt;=$E246),VLOOKUP($F246,$K$2:AI$8,U$1,"Falsch"),"")</f>
        <v/>
      </c>
      <c r="V246" s="16" t="str">
        <f>IF(AND(V$10&gt;=$D246,V$11&lt;=$E246),VLOOKUP($F246,$K$2:AJ$8,V$1,"Falsch"),"")</f>
        <v/>
      </c>
      <c r="W246" s="16" t="str">
        <f>IF(AND(W$10&gt;=$D246,W$11&lt;=$E246),VLOOKUP($F246,$K$2:AK$8,W$1,"Falsch"),"")</f>
        <v/>
      </c>
      <c r="X246" s="16" t="str">
        <f>IF(AND(X$10&gt;=$D246,X$11&lt;=$E246),VLOOKUP($F246,$K$2:AL$8,X$1,"Falsch"),"")</f>
        <v/>
      </c>
      <c r="Y246" s="16" t="str">
        <f>IF(AND(Y$10&gt;=$D246,Y$11&lt;=$E246),VLOOKUP($F246,$K$2:AM$8,Y$1,"Falsch"),"")</f>
        <v/>
      </c>
      <c r="Z246" s="16" t="str">
        <f>IF(AND(Z$10&gt;=$D246,Z$11&lt;=$E246),VLOOKUP($F246,$K$2:AN$8,Z$1,"Falsch"),"")</f>
        <v/>
      </c>
      <c r="AA246" s="16" t="str">
        <f>IF(AND(AA$10&gt;=$D246,AA$11&lt;=$E246),VLOOKUP($F246,$K$2:AO$8,AA$1,"Falsch"),"")</f>
        <v/>
      </c>
      <c r="AB246" s="16" t="str">
        <f>IF(AND(AB$10&gt;=$D246,AB$11&lt;=$E246),VLOOKUP($F246,$K$2:AP$8,AB$1,"Falsch"),"")</f>
        <v/>
      </c>
      <c r="AC246" s="16" t="str">
        <f>IF(AND(AC$10&gt;=$D246,AC$11&lt;=$E246),VLOOKUP($F246,$K$2:AQ$8,AC$1,"Falsch"),"")</f>
        <v/>
      </c>
      <c r="AD246" s="16" t="str">
        <f>IF(AND(AD$10&gt;=$D246,AD$11&lt;=$E246),VLOOKUP($F246,$K$2:AR$8,AD$1,"Falsch"),"")</f>
        <v/>
      </c>
    </row>
    <row r="247" spans="9:30" x14ac:dyDescent="0.25">
      <c r="I247" s="21">
        <f t="shared" si="37"/>
        <v>0</v>
      </c>
      <c r="K247" s="25">
        <f t="shared" si="36"/>
        <v>0</v>
      </c>
      <c r="L247" s="16" t="str">
        <f>IF(AND(L$10&gt;=$D247,L$11&lt;=$E247),VLOOKUP($F247,$K$2:Z$8,L$1,"Falsch"),"")</f>
        <v/>
      </c>
      <c r="M247" s="16" t="str">
        <f>IF(AND(M$10&gt;=$D247,M$11&lt;=$E247),VLOOKUP($F247,$K$2:AA$8,M$1,"Falsch"),"")</f>
        <v/>
      </c>
      <c r="N247" s="16" t="str">
        <f>IF(AND(N$10&gt;=$D247,N$11&lt;=$E247),VLOOKUP($F247,$K$2:AB$8,N$1,"Falsch"),"")</f>
        <v/>
      </c>
      <c r="O247" s="16" t="str">
        <f>IF(AND(O$10&gt;=$D247,O$11&lt;=$E247),VLOOKUP($F247,$K$2:AC$8,O$1,"Falsch"),"")</f>
        <v/>
      </c>
      <c r="P247" s="16" t="str">
        <f>IF(AND(P$10&gt;=$D247,P$11&lt;=$E247),VLOOKUP($F247,$K$2:AD$8,P$1,"Falsch"),"")</f>
        <v/>
      </c>
      <c r="Q247" s="16" t="str">
        <f>IF(AND(Q$10&gt;=$D247,Q$11&lt;=$E247),VLOOKUP($F247,$K$2:AE$8,Q$1,"Falsch"),"")</f>
        <v/>
      </c>
      <c r="R247" s="16" t="str">
        <f>IF(AND(R$10&gt;=$D247,R$11&lt;=$E247),VLOOKUP($F247,$K$2:AF$8,R$1,"Falsch"),"")</f>
        <v/>
      </c>
      <c r="S247" s="16" t="str">
        <f>IF(AND(S$10&gt;=$D247,S$11&lt;=$E247),VLOOKUP($F247,$K$2:AG$8,S$1,"Falsch"),"")</f>
        <v/>
      </c>
      <c r="T247" s="16" t="str">
        <f>IF(AND(T$10&gt;=$D247,T$11&lt;=$E247),VLOOKUP($F247,$K$2:AH$8,T$1,"Falsch"),"")</f>
        <v/>
      </c>
      <c r="U247" s="16" t="str">
        <f>IF(AND(U$10&gt;=$D247,U$11&lt;=$E247),VLOOKUP($F247,$K$2:AI$8,U$1,"Falsch"),"")</f>
        <v/>
      </c>
      <c r="V247" s="16" t="str">
        <f>IF(AND(V$10&gt;=$D247,V$11&lt;=$E247),VLOOKUP($F247,$K$2:AJ$8,V$1,"Falsch"),"")</f>
        <v/>
      </c>
      <c r="W247" s="16" t="str">
        <f>IF(AND(W$10&gt;=$D247,W$11&lt;=$E247),VLOOKUP($F247,$K$2:AK$8,W$1,"Falsch"),"")</f>
        <v/>
      </c>
      <c r="X247" s="16" t="str">
        <f>IF(AND(X$10&gt;=$D247,X$11&lt;=$E247),VLOOKUP($F247,$K$2:AL$8,X$1,"Falsch"),"")</f>
        <v/>
      </c>
      <c r="Y247" s="16" t="str">
        <f>IF(AND(Y$10&gt;=$D247,Y$11&lt;=$E247),VLOOKUP($F247,$K$2:AM$8,Y$1,"Falsch"),"")</f>
        <v/>
      </c>
      <c r="Z247" s="16" t="str">
        <f>IF(AND(Z$10&gt;=$D247,Z$11&lt;=$E247),VLOOKUP($F247,$K$2:AN$8,Z$1,"Falsch"),"")</f>
        <v/>
      </c>
      <c r="AA247" s="16" t="str">
        <f>IF(AND(AA$10&gt;=$D247,AA$11&lt;=$E247),VLOOKUP($F247,$K$2:AO$8,AA$1,"Falsch"),"")</f>
        <v/>
      </c>
      <c r="AB247" s="16" t="str">
        <f>IF(AND(AB$10&gt;=$D247,AB$11&lt;=$E247),VLOOKUP($F247,$K$2:AP$8,AB$1,"Falsch"),"")</f>
        <v/>
      </c>
      <c r="AC247" s="16" t="str">
        <f>IF(AND(AC$10&gt;=$D247,AC$11&lt;=$E247),VLOOKUP($F247,$K$2:AQ$8,AC$1,"Falsch"),"")</f>
        <v/>
      </c>
      <c r="AD247" s="16" t="str">
        <f>IF(AND(AD$10&gt;=$D247,AD$11&lt;=$E247),VLOOKUP($F247,$K$2:AR$8,AD$1,"Falsch"),"")</f>
        <v/>
      </c>
    </row>
    <row r="248" spans="9:30" x14ac:dyDescent="0.25">
      <c r="I248" s="21">
        <f t="shared" si="37"/>
        <v>0</v>
      </c>
      <c r="K248" s="25">
        <f t="shared" si="36"/>
        <v>0</v>
      </c>
      <c r="L248" s="16" t="str">
        <f>IF(AND(L$10&gt;=$D248,L$11&lt;=$E248),VLOOKUP($F248,$K$2:Z$8,L$1,"Falsch"),"")</f>
        <v/>
      </c>
      <c r="M248" s="16" t="str">
        <f>IF(AND(M$10&gt;=$D248,M$11&lt;=$E248),VLOOKUP($F248,$K$2:AA$8,M$1,"Falsch"),"")</f>
        <v/>
      </c>
      <c r="N248" s="16" t="str">
        <f>IF(AND(N$10&gt;=$D248,N$11&lt;=$E248),VLOOKUP($F248,$K$2:AB$8,N$1,"Falsch"),"")</f>
        <v/>
      </c>
      <c r="O248" s="16" t="str">
        <f>IF(AND(O$10&gt;=$D248,O$11&lt;=$E248),VLOOKUP($F248,$K$2:AC$8,O$1,"Falsch"),"")</f>
        <v/>
      </c>
      <c r="P248" s="16" t="str">
        <f>IF(AND(P$10&gt;=$D248,P$11&lt;=$E248),VLOOKUP($F248,$K$2:AD$8,P$1,"Falsch"),"")</f>
        <v/>
      </c>
      <c r="Q248" s="16" t="str">
        <f>IF(AND(Q$10&gt;=$D248,Q$11&lt;=$E248),VLOOKUP($F248,$K$2:AE$8,Q$1,"Falsch"),"")</f>
        <v/>
      </c>
      <c r="R248" s="16" t="str">
        <f>IF(AND(R$10&gt;=$D248,R$11&lt;=$E248),VLOOKUP($F248,$K$2:AF$8,R$1,"Falsch"),"")</f>
        <v/>
      </c>
      <c r="S248" s="16" t="str">
        <f>IF(AND(S$10&gt;=$D248,S$11&lt;=$E248),VLOOKUP($F248,$K$2:AG$8,S$1,"Falsch"),"")</f>
        <v/>
      </c>
      <c r="T248" s="16" t="str">
        <f>IF(AND(T$10&gt;=$D248,T$11&lt;=$E248),VLOOKUP($F248,$K$2:AH$8,T$1,"Falsch"),"")</f>
        <v/>
      </c>
      <c r="U248" s="16" t="str">
        <f>IF(AND(U$10&gt;=$D248,U$11&lt;=$E248),VLOOKUP($F248,$K$2:AI$8,U$1,"Falsch"),"")</f>
        <v/>
      </c>
      <c r="V248" s="16" t="str">
        <f>IF(AND(V$10&gt;=$D248,V$11&lt;=$E248),VLOOKUP($F248,$K$2:AJ$8,V$1,"Falsch"),"")</f>
        <v/>
      </c>
      <c r="W248" s="16" t="str">
        <f>IF(AND(W$10&gt;=$D248,W$11&lt;=$E248),VLOOKUP($F248,$K$2:AK$8,W$1,"Falsch"),"")</f>
        <v/>
      </c>
      <c r="X248" s="16" t="str">
        <f>IF(AND(X$10&gt;=$D248,X$11&lt;=$E248),VLOOKUP($F248,$K$2:AL$8,X$1,"Falsch"),"")</f>
        <v/>
      </c>
      <c r="Y248" s="16" t="str">
        <f>IF(AND(Y$10&gt;=$D248,Y$11&lt;=$E248),VLOOKUP($F248,$K$2:AM$8,Y$1,"Falsch"),"")</f>
        <v/>
      </c>
      <c r="Z248" s="16" t="str">
        <f>IF(AND(Z$10&gt;=$D248,Z$11&lt;=$E248),VLOOKUP($F248,$K$2:AN$8,Z$1,"Falsch"),"")</f>
        <v/>
      </c>
      <c r="AA248" s="16" t="str">
        <f>IF(AND(AA$10&gt;=$D248,AA$11&lt;=$E248),VLOOKUP($F248,$K$2:AO$8,AA$1,"Falsch"),"")</f>
        <v/>
      </c>
      <c r="AB248" s="16" t="str">
        <f>IF(AND(AB$10&gt;=$D248,AB$11&lt;=$E248),VLOOKUP($F248,$K$2:AP$8,AB$1,"Falsch"),"")</f>
        <v/>
      </c>
      <c r="AC248" s="16" t="str">
        <f>IF(AND(AC$10&gt;=$D248,AC$11&lt;=$E248),VLOOKUP($F248,$K$2:AQ$8,AC$1,"Falsch"),"")</f>
        <v/>
      </c>
      <c r="AD248" s="16" t="str">
        <f>IF(AND(AD$10&gt;=$D248,AD$11&lt;=$E248),VLOOKUP($F248,$K$2:AR$8,AD$1,"Falsch"),"")</f>
        <v/>
      </c>
    </row>
    <row r="249" spans="9:30" x14ac:dyDescent="0.25">
      <c r="I249" s="21">
        <f t="shared" si="37"/>
        <v>0</v>
      </c>
      <c r="K249" s="25">
        <f t="shared" si="36"/>
        <v>0</v>
      </c>
      <c r="L249" s="16" t="str">
        <f>IF(AND(L$10&gt;=$D249,L$11&lt;=$E249),VLOOKUP($F249,$K$2:Z$8,L$1,"Falsch"),"")</f>
        <v/>
      </c>
      <c r="M249" s="16" t="str">
        <f>IF(AND(M$10&gt;=$D249,M$11&lt;=$E249),VLOOKUP($F249,$K$2:AA$8,M$1,"Falsch"),"")</f>
        <v/>
      </c>
      <c r="N249" s="16" t="str">
        <f>IF(AND(N$10&gt;=$D249,N$11&lt;=$E249),VLOOKUP($F249,$K$2:AB$8,N$1,"Falsch"),"")</f>
        <v/>
      </c>
      <c r="O249" s="16" t="str">
        <f>IF(AND(O$10&gt;=$D249,O$11&lt;=$E249),VLOOKUP($F249,$K$2:AC$8,O$1,"Falsch"),"")</f>
        <v/>
      </c>
      <c r="P249" s="16" t="str">
        <f>IF(AND(P$10&gt;=$D249,P$11&lt;=$E249),VLOOKUP($F249,$K$2:AD$8,P$1,"Falsch"),"")</f>
        <v/>
      </c>
      <c r="Q249" s="16" t="str">
        <f>IF(AND(Q$10&gt;=$D249,Q$11&lt;=$E249),VLOOKUP($F249,$K$2:AE$8,Q$1,"Falsch"),"")</f>
        <v/>
      </c>
      <c r="R249" s="16" t="str">
        <f>IF(AND(R$10&gt;=$D249,R$11&lt;=$E249),VLOOKUP($F249,$K$2:AF$8,R$1,"Falsch"),"")</f>
        <v/>
      </c>
      <c r="S249" s="16" t="str">
        <f>IF(AND(S$10&gt;=$D249,S$11&lt;=$E249),VLOOKUP($F249,$K$2:AG$8,S$1,"Falsch"),"")</f>
        <v/>
      </c>
      <c r="T249" s="16" t="str">
        <f>IF(AND(T$10&gt;=$D249,T$11&lt;=$E249),VLOOKUP($F249,$K$2:AH$8,T$1,"Falsch"),"")</f>
        <v/>
      </c>
      <c r="U249" s="16" t="str">
        <f>IF(AND(U$10&gt;=$D249,U$11&lt;=$E249),VLOOKUP($F249,$K$2:AI$8,U$1,"Falsch"),"")</f>
        <v/>
      </c>
      <c r="V249" s="16" t="str">
        <f>IF(AND(V$10&gt;=$D249,V$11&lt;=$E249),VLOOKUP($F249,$K$2:AJ$8,V$1,"Falsch"),"")</f>
        <v/>
      </c>
      <c r="W249" s="16" t="str">
        <f>IF(AND(W$10&gt;=$D249,W$11&lt;=$E249),VLOOKUP($F249,$K$2:AK$8,W$1,"Falsch"),"")</f>
        <v/>
      </c>
      <c r="X249" s="16" t="str">
        <f>IF(AND(X$10&gt;=$D249,X$11&lt;=$E249),VLOOKUP($F249,$K$2:AL$8,X$1,"Falsch"),"")</f>
        <v/>
      </c>
      <c r="Y249" s="16" t="str">
        <f>IF(AND(Y$10&gt;=$D249,Y$11&lt;=$E249),VLOOKUP($F249,$K$2:AM$8,Y$1,"Falsch"),"")</f>
        <v/>
      </c>
      <c r="Z249" s="16" t="str">
        <f>IF(AND(Z$10&gt;=$D249,Z$11&lt;=$E249),VLOOKUP($F249,$K$2:AN$8,Z$1,"Falsch"),"")</f>
        <v/>
      </c>
      <c r="AA249" s="16" t="str">
        <f>IF(AND(AA$10&gt;=$D249,AA$11&lt;=$E249),VLOOKUP($F249,$K$2:AO$8,AA$1,"Falsch"),"")</f>
        <v/>
      </c>
      <c r="AB249" s="16" t="str">
        <f>IF(AND(AB$10&gt;=$D249,AB$11&lt;=$E249),VLOOKUP($F249,$K$2:AP$8,AB$1,"Falsch"),"")</f>
        <v/>
      </c>
      <c r="AC249" s="16" t="str">
        <f>IF(AND(AC$10&gt;=$D249,AC$11&lt;=$E249),VLOOKUP($F249,$K$2:AQ$8,AC$1,"Falsch"),"")</f>
        <v/>
      </c>
      <c r="AD249" s="16" t="str">
        <f>IF(AND(AD$10&gt;=$D249,AD$11&lt;=$E249),VLOOKUP($F249,$K$2:AR$8,AD$1,"Falsch"),"")</f>
        <v/>
      </c>
    </row>
    <row r="250" spans="9:30" x14ac:dyDescent="0.25">
      <c r="I250" s="21">
        <f t="shared" si="37"/>
        <v>0</v>
      </c>
      <c r="K250" s="25">
        <f t="shared" si="36"/>
        <v>0</v>
      </c>
      <c r="L250" s="16" t="str">
        <f>IF(AND(L$10&gt;=$D250,L$11&lt;=$E250),VLOOKUP($F250,$K$2:Z$8,L$1,"Falsch"),"")</f>
        <v/>
      </c>
      <c r="M250" s="16" t="str">
        <f>IF(AND(M$10&gt;=$D250,M$11&lt;=$E250),VLOOKUP($F250,$K$2:AA$8,M$1,"Falsch"),"")</f>
        <v/>
      </c>
      <c r="N250" s="16" t="str">
        <f>IF(AND(N$10&gt;=$D250,N$11&lt;=$E250),VLOOKUP($F250,$K$2:AB$8,N$1,"Falsch"),"")</f>
        <v/>
      </c>
      <c r="O250" s="16" t="str">
        <f>IF(AND(O$10&gt;=$D250,O$11&lt;=$E250),VLOOKUP($F250,$K$2:AC$8,O$1,"Falsch"),"")</f>
        <v/>
      </c>
      <c r="P250" s="16" t="str">
        <f>IF(AND(P$10&gt;=$D250,P$11&lt;=$E250),VLOOKUP($F250,$K$2:AD$8,P$1,"Falsch"),"")</f>
        <v/>
      </c>
      <c r="Q250" s="16" t="str">
        <f>IF(AND(Q$10&gt;=$D250,Q$11&lt;=$E250),VLOOKUP($F250,$K$2:AE$8,Q$1,"Falsch"),"")</f>
        <v/>
      </c>
      <c r="R250" s="16" t="str">
        <f>IF(AND(R$10&gt;=$D250,R$11&lt;=$E250),VLOOKUP($F250,$K$2:AF$8,R$1,"Falsch"),"")</f>
        <v/>
      </c>
      <c r="S250" s="16" t="str">
        <f>IF(AND(S$10&gt;=$D250,S$11&lt;=$E250),VLOOKUP($F250,$K$2:AG$8,S$1,"Falsch"),"")</f>
        <v/>
      </c>
      <c r="T250" s="16" t="str">
        <f>IF(AND(T$10&gt;=$D250,T$11&lt;=$E250),VLOOKUP($F250,$K$2:AH$8,T$1,"Falsch"),"")</f>
        <v/>
      </c>
      <c r="U250" s="16" t="str">
        <f>IF(AND(U$10&gt;=$D250,U$11&lt;=$E250),VLOOKUP($F250,$K$2:AI$8,U$1,"Falsch"),"")</f>
        <v/>
      </c>
      <c r="V250" s="16" t="str">
        <f>IF(AND(V$10&gt;=$D250,V$11&lt;=$E250),VLOOKUP($F250,$K$2:AJ$8,V$1,"Falsch"),"")</f>
        <v/>
      </c>
      <c r="W250" s="16" t="str">
        <f>IF(AND(W$10&gt;=$D250,W$11&lt;=$E250),VLOOKUP($F250,$K$2:AK$8,W$1,"Falsch"),"")</f>
        <v/>
      </c>
      <c r="X250" s="16" t="str">
        <f>IF(AND(X$10&gt;=$D250,X$11&lt;=$E250),VLOOKUP($F250,$K$2:AL$8,X$1,"Falsch"),"")</f>
        <v/>
      </c>
      <c r="Y250" s="16" t="str">
        <f>IF(AND(Y$10&gt;=$D250,Y$11&lt;=$E250),VLOOKUP($F250,$K$2:AM$8,Y$1,"Falsch"),"")</f>
        <v/>
      </c>
      <c r="Z250" s="16" t="str">
        <f>IF(AND(Z$10&gt;=$D250,Z$11&lt;=$E250),VLOOKUP($F250,$K$2:AN$8,Z$1,"Falsch"),"")</f>
        <v/>
      </c>
      <c r="AA250" s="16" t="str">
        <f>IF(AND(AA$10&gt;=$D250,AA$11&lt;=$E250),VLOOKUP($F250,$K$2:AO$8,AA$1,"Falsch"),"")</f>
        <v/>
      </c>
      <c r="AB250" s="16" t="str">
        <f>IF(AND(AB$10&gt;=$D250,AB$11&lt;=$E250),VLOOKUP($F250,$K$2:AP$8,AB$1,"Falsch"),"")</f>
        <v/>
      </c>
      <c r="AC250" s="16" t="str">
        <f>IF(AND(AC$10&gt;=$D250,AC$11&lt;=$E250),VLOOKUP($F250,$K$2:AQ$8,AC$1,"Falsch"),"")</f>
        <v/>
      </c>
      <c r="AD250" s="16" t="str">
        <f>IF(AND(AD$10&gt;=$D250,AD$11&lt;=$E250),VLOOKUP($F250,$K$2:AR$8,AD$1,"Falsch"),"")</f>
        <v/>
      </c>
    </row>
    <row r="251" spans="9:30" x14ac:dyDescent="0.25">
      <c r="I251" s="21">
        <f t="shared" si="37"/>
        <v>0</v>
      </c>
      <c r="K251" s="25">
        <f t="shared" si="36"/>
        <v>0</v>
      </c>
      <c r="L251" s="16" t="str">
        <f>IF(AND(L$10&gt;=$D251,L$11&lt;=$E251),VLOOKUP($F251,$K$2:Z$8,L$1,"Falsch"),"")</f>
        <v/>
      </c>
      <c r="M251" s="16" t="str">
        <f>IF(AND(M$10&gt;=$D251,M$11&lt;=$E251),VLOOKUP($F251,$K$2:AA$8,M$1,"Falsch"),"")</f>
        <v/>
      </c>
      <c r="N251" s="16" t="str">
        <f>IF(AND(N$10&gt;=$D251,N$11&lt;=$E251),VLOOKUP($F251,$K$2:AB$8,N$1,"Falsch"),"")</f>
        <v/>
      </c>
      <c r="O251" s="16" t="str">
        <f>IF(AND(O$10&gt;=$D251,O$11&lt;=$E251),VLOOKUP($F251,$K$2:AC$8,O$1,"Falsch"),"")</f>
        <v/>
      </c>
      <c r="P251" s="16" t="str">
        <f>IF(AND(P$10&gt;=$D251,P$11&lt;=$E251),VLOOKUP($F251,$K$2:AD$8,P$1,"Falsch"),"")</f>
        <v/>
      </c>
      <c r="Q251" s="16" t="str">
        <f>IF(AND(Q$10&gt;=$D251,Q$11&lt;=$E251),VLOOKUP($F251,$K$2:AE$8,Q$1,"Falsch"),"")</f>
        <v/>
      </c>
      <c r="R251" s="16" t="str">
        <f>IF(AND(R$10&gt;=$D251,R$11&lt;=$E251),VLOOKUP($F251,$K$2:AF$8,R$1,"Falsch"),"")</f>
        <v/>
      </c>
      <c r="S251" s="16" t="str">
        <f>IF(AND(S$10&gt;=$D251,S$11&lt;=$E251),VLOOKUP($F251,$K$2:AG$8,S$1,"Falsch"),"")</f>
        <v/>
      </c>
      <c r="T251" s="16" t="str">
        <f>IF(AND(T$10&gt;=$D251,T$11&lt;=$E251),VLOOKUP($F251,$K$2:AH$8,T$1,"Falsch"),"")</f>
        <v/>
      </c>
      <c r="U251" s="16" t="str">
        <f>IF(AND(U$10&gt;=$D251,U$11&lt;=$E251),VLOOKUP($F251,$K$2:AI$8,U$1,"Falsch"),"")</f>
        <v/>
      </c>
      <c r="V251" s="16" t="str">
        <f>IF(AND(V$10&gt;=$D251,V$11&lt;=$E251),VLOOKUP($F251,$K$2:AJ$8,V$1,"Falsch"),"")</f>
        <v/>
      </c>
      <c r="W251" s="16" t="str">
        <f>IF(AND(W$10&gt;=$D251,W$11&lt;=$E251),VLOOKUP($F251,$K$2:AK$8,W$1,"Falsch"),"")</f>
        <v/>
      </c>
      <c r="X251" s="16" t="str">
        <f>IF(AND(X$10&gt;=$D251,X$11&lt;=$E251),VLOOKUP($F251,$K$2:AL$8,X$1,"Falsch"),"")</f>
        <v/>
      </c>
      <c r="Y251" s="16" t="str">
        <f>IF(AND(Y$10&gt;=$D251,Y$11&lt;=$E251),VLOOKUP($F251,$K$2:AM$8,Y$1,"Falsch"),"")</f>
        <v/>
      </c>
      <c r="Z251" s="16" t="str">
        <f>IF(AND(Z$10&gt;=$D251,Z$11&lt;=$E251),VLOOKUP($F251,$K$2:AN$8,Z$1,"Falsch"),"")</f>
        <v/>
      </c>
      <c r="AA251" s="16" t="str">
        <f>IF(AND(AA$10&gt;=$D251,AA$11&lt;=$E251),VLOOKUP($F251,$K$2:AO$8,AA$1,"Falsch"),"")</f>
        <v/>
      </c>
      <c r="AB251" s="16" t="str">
        <f>IF(AND(AB$10&gt;=$D251,AB$11&lt;=$E251),VLOOKUP($F251,$K$2:AP$8,AB$1,"Falsch"),"")</f>
        <v/>
      </c>
      <c r="AC251" s="16" t="str">
        <f>IF(AND(AC$10&gt;=$D251,AC$11&lt;=$E251),VLOOKUP($F251,$K$2:AQ$8,AC$1,"Falsch"),"")</f>
        <v/>
      </c>
      <c r="AD251" s="16" t="str">
        <f>IF(AND(AD$10&gt;=$D251,AD$11&lt;=$E251),VLOOKUP($F251,$K$2:AR$8,AD$1,"Falsch"),"")</f>
        <v/>
      </c>
    </row>
    <row r="252" spans="9:30" x14ac:dyDescent="0.25">
      <c r="I252" s="21">
        <f t="shared" si="37"/>
        <v>0</v>
      </c>
      <c r="K252" s="25">
        <f t="shared" si="36"/>
        <v>0</v>
      </c>
      <c r="L252" s="16" t="str">
        <f>IF(AND(L$10&gt;=$D252,L$11&lt;=$E252),VLOOKUP($F252,$K$2:Z$8,L$1,"Falsch"),"")</f>
        <v/>
      </c>
      <c r="M252" s="16" t="str">
        <f>IF(AND(M$10&gt;=$D252,M$11&lt;=$E252),VLOOKUP($F252,$K$2:AA$8,M$1,"Falsch"),"")</f>
        <v/>
      </c>
      <c r="N252" s="16" t="str">
        <f>IF(AND(N$10&gt;=$D252,N$11&lt;=$E252),VLOOKUP($F252,$K$2:AB$8,N$1,"Falsch"),"")</f>
        <v/>
      </c>
      <c r="O252" s="16" t="str">
        <f>IF(AND(O$10&gt;=$D252,O$11&lt;=$E252),VLOOKUP($F252,$K$2:AC$8,O$1,"Falsch"),"")</f>
        <v/>
      </c>
      <c r="P252" s="16" t="str">
        <f>IF(AND(P$10&gt;=$D252,P$11&lt;=$E252),VLOOKUP($F252,$K$2:AD$8,P$1,"Falsch"),"")</f>
        <v/>
      </c>
      <c r="Q252" s="16" t="str">
        <f>IF(AND(Q$10&gt;=$D252,Q$11&lt;=$E252),VLOOKUP($F252,$K$2:AE$8,Q$1,"Falsch"),"")</f>
        <v/>
      </c>
      <c r="R252" s="16" t="str">
        <f>IF(AND(R$10&gt;=$D252,R$11&lt;=$E252),VLOOKUP($F252,$K$2:AF$8,R$1,"Falsch"),"")</f>
        <v/>
      </c>
      <c r="S252" s="16" t="str">
        <f>IF(AND(S$10&gt;=$D252,S$11&lt;=$E252),VLOOKUP($F252,$K$2:AG$8,S$1,"Falsch"),"")</f>
        <v/>
      </c>
      <c r="T252" s="16" t="str">
        <f>IF(AND(T$10&gt;=$D252,T$11&lt;=$E252),VLOOKUP($F252,$K$2:AH$8,T$1,"Falsch"),"")</f>
        <v/>
      </c>
      <c r="U252" s="16" t="str">
        <f>IF(AND(U$10&gt;=$D252,U$11&lt;=$E252),VLOOKUP($F252,$K$2:AI$8,U$1,"Falsch"),"")</f>
        <v/>
      </c>
      <c r="V252" s="16" t="str">
        <f>IF(AND(V$10&gt;=$D252,V$11&lt;=$E252),VLOOKUP($F252,$K$2:AJ$8,V$1,"Falsch"),"")</f>
        <v/>
      </c>
      <c r="W252" s="16" t="str">
        <f>IF(AND(W$10&gt;=$D252,W$11&lt;=$E252),VLOOKUP($F252,$K$2:AK$8,W$1,"Falsch"),"")</f>
        <v/>
      </c>
      <c r="X252" s="16" t="str">
        <f>IF(AND(X$10&gt;=$D252,X$11&lt;=$E252),VLOOKUP($F252,$K$2:AL$8,X$1,"Falsch"),"")</f>
        <v/>
      </c>
      <c r="Y252" s="16" t="str">
        <f>IF(AND(Y$10&gt;=$D252,Y$11&lt;=$E252),VLOOKUP($F252,$K$2:AM$8,Y$1,"Falsch"),"")</f>
        <v/>
      </c>
      <c r="Z252" s="16" t="str">
        <f>IF(AND(Z$10&gt;=$D252,Z$11&lt;=$E252),VLOOKUP($F252,$K$2:AN$8,Z$1,"Falsch"),"")</f>
        <v/>
      </c>
      <c r="AA252" s="16" t="str">
        <f>IF(AND(AA$10&gt;=$D252,AA$11&lt;=$E252),VLOOKUP($F252,$K$2:AO$8,AA$1,"Falsch"),"")</f>
        <v/>
      </c>
      <c r="AB252" s="16" t="str">
        <f>IF(AND(AB$10&gt;=$D252,AB$11&lt;=$E252),VLOOKUP($F252,$K$2:AP$8,AB$1,"Falsch"),"")</f>
        <v/>
      </c>
      <c r="AC252" s="16" t="str">
        <f>IF(AND(AC$10&gt;=$D252,AC$11&lt;=$E252),VLOOKUP($F252,$K$2:AQ$8,AC$1,"Falsch"),"")</f>
        <v/>
      </c>
      <c r="AD252" s="16" t="str">
        <f>IF(AND(AD$10&gt;=$D252,AD$11&lt;=$E252),VLOOKUP($F252,$K$2:AR$8,AD$1,"Falsch"),"")</f>
        <v/>
      </c>
    </row>
    <row r="253" spans="9:30" x14ac:dyDescent="0.25">
      <c r="I253" s="21">
        <f t="shared" si="37"/>
        <v>0</v>
      </c>
      <c r="K253" s="25">
        <f t="shared" si="36"/>
        <v>0</v>
      </c>
      <c r="L253" s="16" t="str">
        <f>IF(AND(L$10&gt;=$D253,L$11&lt;=$E253),VLOOKUP($F253,$K$2:Z$8,L$1,"Falsch"),"")</f>
        <v/>
      </c>
      <c r="M253" s="16" t="str">
        <f>IF(AND(M$10&gt;=$D253,M$11&lt;=$E253),VLOOKUP($F253,$K$2:AA$8,M$1,"Falsch"),"")</f>
        <v/>
      </c>
      <c r="N253" s="16" t="str">
        <f>IF(AND(N$10&gt;=$D253,N$11&lt;=$E253),VLOOKUP($F253,$K$2:AB$8,N$1,"Falsch"),"")</f>
        <v/>
      </c>
      <c r="O253" s="16" t="str">
        <f>IF(AND(O$10&gt;=$D253,O$11&lt;=$E253),VLOOKUP($F253,$K$2:AC$8,O$1,"Falsch"),"")</f>
        <v/>
      </c>
      <c r="P253" s="16" t="str">
        <f>IF(AND(P$10&gt;=$D253,P$11&lt;=$E253),VLOOKUP($F253,$K$2:AD$8,P$1,"Falsch"),"")</f>
        <v/>
      </c>
      <c r="Q253" s="16" t="str">
        <f>IF(AND(Q$10&gt;=$D253,Q$11&lt;=$E253),VLOOKUP($F253,$K$2:AE$8,Q$1,"Falsch"),"")</f>
        <v/>
      </c>
      <c r="R253" s="16" t="str">
        <f>IF(AND(R$10&gt;=$D253,R$11&lt;=$E253),VLOOKUP($F253,$K$2:AF$8,R$1,"Falsch"),"")</f>
        <v/>
      </c>
      <c r="S253" s="16" t="str">
        <f>IF(AND(S$10&gt;=$D253,S$11&lt;=$E253),VLOOKUP($F253,$K$2:AG$8,S$1,"Falsch"),"")</f>
        <v/>
      </c>
      <c r="T253" s="16" t="str">
        <f>IF(AND(T$10&gt;=$D253,T$11&lt;=$E253),VLOOKUP($F253,$K$2:AH$8,T$1,"Falsch"),"")</f>
        <v/>
      </c>
      <c r="U253" s="16" t="str">
        <f>IF(AND(U$10&gt;=$D253,U$11&lt;=$E253),VLOOKUP($F253,$K$2:AI$8,U$1,"Falsch"),"")</f>
        <v/>
      </c>
      <c r="V253" s="16" t="str">
        <f>IF(AND(V$10&gt;=$D253,V$11&lt;=$E253),VLOOKUP($F253,$K$2:AJ$8,V$1,"Falsch"),"")</f>
        <v/>
      </c>
      <c r="W253" s="16" t="str">
        <f>IF(AND(W$10&gt;=$D253,W$11&lt;=$E253),VLOOKUP($F253,$K$2:AK$8,W$1,"Falsch"),"")</f>
        <v/>
      </c>
      <c r="X253" s="16" t="str">
        <f>IF(AND(X$10&gt;=$D253,X$11&lt;=$E253),VLOOKUP($F253,$K$2:AL$8,X$1,"Falsch"),"")</f>
        <v/>
      </c>
      <c r="Y253" s="16" t="str">
        <f>IF(AND(Y$10&gt;=$D253,Y$11&lt;=$E253),VLOOKUP($F253,$K$2:AM$8,Y$1,"Falsch"),"")</f>
        <v/>
      </c>
      <c r="Z253" s="16" t="str">
        <f>IF(AND(Z$10&gt;=$D253,Z$11&lt;=$E253),VLOOKUP($F253,$K$2:AN$8,Z$1,"Falsch"),"")</f>
        <v/>
      </c>
      <c r="AA253" s="16" t="str">
        <f>IF(AND(AA$10&gt;=$D253,AA$11&lt;=$E253),VLOOKUP($F253,$K$2:AO$8,AA$1,"Falsch"),"")</f>
        <v/>
      </c>
      <c r="AB253" s="16" t="str">
        <f>IF(AND(AB$10&gt;=$D253,AB$11&lt;=$E253),VLOOKUP($F253,$K$2:AP$8,AB$1,"Falsch"),"")</f>
        <v/>
      </c>
      <c r="AC253" s="16" t="str">
        <f>IF(AND(AC$10&gt;=$D253,AC$11&lt;=$E253),VLOOKUP($F253,$K$2:AQ$8,AC$1,"Falsch"),"")</f>
        <v/>
      </c>
      <c r="AD253" s="16" t="str">
        <f>IF(AND(AD$10&gt;=$D253,AD$11&lt;=$E253),VLOOKUP($F253,$K$2:AR$8,AD$1,"Falsch"),"")</f>
        <v/>
      </c>
    </row>
    <row r="254" spans="9:30" x14ac:dyDescent="0.25">
      <c r="I254" s="21">
        <f t="shared" si="37"/>
        <v>0</v>
      </c>
      <c r="K254" s="25">
        <f t="shared" si="36"/>
        <v>0</v>
      </c>
      <c r="L254" s="16" t="str">
        <f>IF(AND(L$10&gt;=$D254,L$11&lt;=$E254),VLOOKUP($F254,$K$2:Z$8,L$1,"Falsch"),"")</f>
        <v/>
      </c>
      <c r="M254" s="16" t="str">
        <f>IF(AND(M$10&gt;=$D254,M$11&lt;=$E254),VLOOKUP($F254,$K$2:AA$8,M$1,"Falsch"),"")</f>
        <v/>
      </c>
      <c r="N254" s="16" t="str">
        <f>IF(AND(N$10&gt;=$D254,N$11&lt;=$E254),VLOOKUP($F254,$K$2:AB$8,N$1,"Falsch"),"")</f>
        <v/>
      </c>
      <c r="O254" s="16" t="str">
        <f>IF(AND(O$10&gt;=$D254,O$11&lt;=$E254),VLOOKUP($F254,$K$2:AC$8,O$1,"Falsch"),"")</f>
        <v/>
      </c>
      <c r="P254" s="16" t="str">
        <f>IF(AND(P$10&gt;=$D254,P$11&lt;=$E254),VLOOKUP($F254,$K$2:AD$8,P$1,"Falsch"),"")</f>
        <v/>
      </c>
      <c r="Q254" s="16" t="str">
        <f>IF(AND(Q$10&gt;=$D254,Q$11&lt;=$E254),VLOOKUP($F254,$K$2:AE$8,Q$1,"Falsch"),"")</f>
        <v/>
      </c>
      <c r="R254" s="16" t="str">
        <f>IF(AND(R$10&gt;=$D254,R$11&lt;=$E254),VLOOKUP($F254,$K$2:AF$8,R$1,"Falsch"),"")</f>
        <v/>
      </c>
      <c r="S254" s="16" t="str">
        <f>IF(AND(S$10&gt;=$D254,S$11&lt;=$E254),VLOOKUP($F254,$K$2:AG$8,S$1,"Falsch"),"")</f>
        <v/>
      </c>
      <c r="T254" s="16" t="str">
        <f>IF(AND(T$10&gt;=$D254,T$11&lt;=$E254),VLOOKUP($F254,$K$2:AH$8,T$1,"Falsch"),"")</f>
        <v/>
      </c>
      <c r="U254" s="16" t="str">
        <f>IF(AND(U$10&gt;=$D254,U$11&lt;=$E254),VLOOKUP($F254,$K$2:AI$8,U$1,"Falsch"),"")</f>
        <v/>
      </c>
      <c r="V254" s="16" t="str">
        <f>IF(AND(V$10&gt;=$D254,V$11&lt;=$E254),VLOOKUP($F254,$K$2:AJ$8,V$1,"Falsch"),"")</f>
        <v/>
      </c>
      <c r="W254" s="16" t="str">
        <f>IF(AND(W$10&gt;=$D254,W$11&lt;=$E254),VLOOKUP($F254,$K$2:AK$8,W$1,"Falsch"),"")</f>
        <v/>
      </c>
      <c r="X254" s="16" t="str">
        <f>IF(AND(X$10&gt;=$D254,X$11&lt;=$E254),VLOOKUP($F254,$K$2:AL$8,X$1,"Falsch"),"")</f>
        <v/>
      </c>
      <c r="Y254" s="16" t="str">
        <f>IF(AND(Y$10&gt;=$D254,Y$11&lt;=$E254),VLOOKUP($F254,$K$2:AM$8,Y$1,"Falsch"),"")</f>
        <v/>
      </c>
      <c r="Z254" s="16" t="str">
        <f>IF(AND(Z$10&gt;=$D254,Z$11&lt;=$E254),VLOOKUP($F254,$K$2:AN$8,Z$1,"Falsch"),"")</f>
        <v/>
      </c>
      <c r="AA254" s="16" t="str">
        <f>IF(AND(AA$10&gt;=$D254,AA$11&lt;=$E254),VLOOKUP($F254,$K$2:AO$8,AA$1,"Falsch"),"")</f>
        <v/>
      </c>
      <c r="AB254" s="16" t="str">
        <f>IF(AND(AB$10&gt;=$D254,AB$11&lt;=$E254),VLOOKUP($F254,$K$2:AP$8,AB$1,"Falsch"),"")</f>
        <v/>
      </c>
      <c r="AC254" s="16" t="str">
        <f>IF(AND(AC$10&gt;=$D254,AC$11&lt;=$E254),VLOOKUP($F254,$K$2:AQ$8,AC$1,"Falsch"),"")</f>
        <v/>
      </c>
      <c r="AD254" s="16" t="str">
        <f>IF(AND(AD$10&gt;=$D254,AD$11&lt;=$E254),VLOOKUP($F254,$K$2:AR$8,AD$1,"Falsch"),"")</f>
        <v/>
      </c>
    </row>
    <row r="255" spans="9:30" x14ac:dyDescent="0.25">
      <c r="I255" s="21">
        <f t="shared" si="37"/>
        <v>0</v>
      </c>
      <c r="K255" s="25">
        <f t="shared" si="36"/>
        <v>0</v>
      </c>
      <c r="L255" s="16" t="str">
        <f>IF(AND(L$10&gt;=$D255,L$11&lt;=$E255),VLOOKUP($F255,$K$2:Z$8,L$1,"Falsch"),"")</f>
        <v/>
      </c>
      <c r="M255" s="16" t="str">
        <f>IF(AND(M$10&gt;=$D255,M$11&lt;=$E255),VLOOKUP($F255,$K$2:AA$8,M$1,"Falsch"),"")</f>
        <v/>
      </c>
      <c r="N255" s="16" t="str">
        <f>IF(AND(N$10&gt;=$D255,N$11&lt;=$E255),VLOOKUP($F255,$K$2:AB$8,N$1,"Falsch"),"")</f>
        <v/>
      </c>
      <c r="O255" s="16" t="str">
        <f>IF(AND(O$10&gt;=$D255,O$11&lt;=$E255),VLOOKUP($F255,$K$2:AC$8,O$1,"Falsch"),"")</f>
        <v/>
      </c>
      <c r="P255" s="16" t="str">
        <f>IF(AND(P$10&gt;=$D255,P$11&lt;=$E255),VLOOKUP($F255,$K$2:AD$8,P$1,"Falsch"),"")</f>
        <v/>
      </c>
      <c r="Q255" s="16" t="str">
        <f>IF(AND(Q$10&gt;=$D255,Q$11&lt;=$E255),VLOOKUP($F255,$K$2:AE$8,Q$1,"Falsch"),"")</f>
        <v/>
      </c>
      <c r="R255" s="16" t="str">
        <f>IF(AND(R$10&gt;=$D255,R$11&lt;=$E255),VLOOKUP($F255,$K$2:AF$8,R$1,"Falsch"),"")</f>
        <v/>
      </c>
      <c r="S255" s="16" t="str">
        <f>IF(AND(S$10&gt;=$D255,S$11&lt;=$E255),VLOOKUP($F255,$K$2:AG$8,S$1,"Falsch"),"")</f>
        <v/>
      </c>
      <c r="T255" s="16" t="str">
        <f>IF(AND(T$10&gt;=$D255,T$11&lt;=$E255),VLOOKUP($F255,$K$2:AH$8,T$1,"Falsch"),"")</f>
        <v/>
      </c>
      <c r="U255" s="16" t="str">
        <f>IF(AND(U$10&gt;=$D255,U$11&lt;=$E255),VLOOKUP($F255,$K$2:AI$8,U$1,"Falsch"),"")</f>
        <v/>
      </c>
      <c r="V255" s="16" t="str">
        <f>IF(AND(V$10&gt;=$D255,V$11&lt;=$E255),VLOOKUP($F255,$K$2:AJ$8,V$1,"Falsch"),"")</f>
        <v/>
      </c>
      <c r="W255" s="16" t="str">
        <f>IF(AND(W$10&gt;=$D255,W$11&lt;=$E255),VLOOKUP($F255,$K$2:AK$8,W$1,"Falsch"),"")</f>
        <v/>
      </c>
      <c r="X255" s="16" t="str">
        <f>IF(AND(X$10&gt;=$D255,X$11&lt;=$E255),VLOOKUP($F255,$K$2:AL$8,X$1,"Falsch"),"")</f>
        <v/>
      </c>
      <c r="Y255" s="16" t="str">
        <f>IF(AND(Y$10&gt;=$D255,Y$11&lt;=$E255),VLOOKUP($F255,$K$2:AM$8,Y$1,"Falsch"),"")</f>
        <v/>
      </c>
      <c r="Z255" s="16" t="str">
        <f>IF(AND(Z$10&gt;=$D255,Z$11&lt;=$E255),VLOOKUP($F255,$K$2:AN$8,Z$1,"Falsch"),"")</f>
        <v/>
      </c>
      <c r="AA255" s="16" t="str">
        <f>IF(AND(AA$10&gt;=$D255,AA$11&lt;=$E255),VLOOKUP($F255,$K$2:AO$8,AA$1,"Falsch"),"")</f>
        <v/>
      </c>
      <c r="AB255" s="16" t="str">
        <f>IF(AND(AB$10&gt;=$D255,AB$11&lt;=$E255),VLOOKUP($F255,$K$2:AP$8,AB$1,"Falsch"),"")</f>
        <v/>
      </c>
      <c r="AC255" s="16" t="str">
        <f>IF(AND(AC$10&gt;=$D255,AC$11&lt;=$E255),VLOOKUP($F255,$K$2:AQ$8,AC$1,"Falsch"),"")</f>
        <v/>
      </c>
      <c r="AD255" s="16" t="str">
        <f>IF(AND(AD$10&gt;=$D255,AD$11&lt;=$E255),VLOOKUP($F255,$K$2:AR$8,AD$1,"Falsch"),"")</f>
        <v/>
      </c>
    </row>
    <row r="256" spans="9:30" x14ac:dyDescent="0.25">
      <c r="I256" s="21">
        <f t="shared" si="37"/>
        <v>0</v>
      </c>
      <c r="K256" s="25">
        <f t="shared" si="36"/>
        <v>0</v>
      </c>
      <c r="L256" s="16" t="str">
        <f>IF(AND(L$10&gt;=$D256,L$11&lt;=$E256),VLOOKUP($F256,$K$2:Z$8,L$1,"Falsch"),"")</f>
        <v/>
      </c>
      <c r="M256" s="16" t="str">
        <f>IF(AND(M$10&gt;=$D256,M$11&lt;=$E256),VLOOKUP($F256,$K$2:AA$8,M$1,"Falsch"),"")</f>
        <v/>
      </c>
      <c r="N256" s="16" t="str">
        <f>IF(AND(N$10&gt;=$D256,N$11&lt;=$E256),VLOOKUP($F256,$K$2:AB$8,N$1,"Falsch"),"")</f>
        <v/>
      </c>
      <c r="O256" s="16" t="str">
        <f>IF(AND(O$10&gt;=$D256,O$11&lt;=$E256),VLOOKUP($F256,$K$2:AC$8,O$1,"Falsch"),"")</f>
        <v/>
      </c>
      <c r="P256" s="16" t="str">
        <f>IF(AND(P$10&gt;=$D256,P$11&lt;=$E256),VLOOKUP($F256,$K$2:AD$8,P$1,"Falsch"),"")</f>
        <v/>
      </c>
      <c r="Q256" s="16" t="str">
        <f>IF(AND(Q$10&gt;=$D256,Q$11&lt;=$E256),VLOOKUP($F256,$K$2:AE$8,Q$1,"Falsch"),"")</f>
        <v/>
      </c>
      <c r="R256" s="16" t="str">
        <f>IF(AND(R$10&gt;=$D256,R$11&lt;=$E256),VLOOKUP($F256,$K$2:AF$8,R$1,"Falsch"),"")</f>
        <v/>
      </c>
      <c r="S256" s="16" t="str">
        <f>IF(AND(S$10&gt;=$D256,S$11&lt;=$E256),VLOOKUP($F256,$K$2:AG$8,S$1,"Falsch"),"")</f>
        <v/>
      </c>
      <c r="T256" s="16" t="str">
        <f>IF(AND(T$10&gt;=$D256,T$11&lt;=$E256),VLOOKUP($F256,$K$2:AH$8,T$1,"Falsch"),"")</f>
        <v/>
      </c>
      <c r="U256" s="16" t="str">
        <f>IF(AND(U$10&gt;=$D256,U$11&lt;=$E256),VLOOKUP($F256,$K$2:AI$8,U$1,"Falsch"),"")</f>
        <v/>
      </c>
      <c r="V256" s="16" t="str">
        <f>IF(AND(V$10&gt;=$D256,V$11&lt;=$E256),VLOOKUP($F256,$K$2:AJ$8,V$1,"Falsch"),"")</f>
        <v/>
      </c>
      <c r="W256" s="16" t="str">
        <f>IF(AND(W$10&gt;=$D256,W$11&lt;=$E256),VLOOKUP($F256,$K$2:AK$8,W$1,"Falsch"),"")</f>
        <v/>
      </c>
      <c r="X256" s="16" t="str">
        <f>IF(AND(X$10&gt;=$D256,X$11&lt;=$E256),VLOOKUP($F256,$K$2:AL$8,X$1,"Falsch"),"")</f>
        <v/>
      </c>
      <c r="Y256" s="16" t="str">
        <f>IF(AND(Y$10&gt;=$D256,Y$11&lt;=$E256),VLOOKUP($F256,$K$2:AM$8,Y$1,"Falsch"),"")</f>
        <v/>
      </c>
      <c r="Z256" s="16" t="str">
        <f>IF(AND(Z$10&gt;=$D256,Z$11&lt;=$E256),VLOOKUP($F256,$K$2:AN$8,Z$1,"Falsch"),"")</f>
        <v/>
      </c>
      <c r="AA256" s="16" t="str">
        <f>IF(AND(AA$10&gt;=$D256,AA$11&lt;=$E256),VLOOKUP($F256,$K$2:AO$8,AA$1,"Falsch"),"")</f>
        <v/>
      </c>
      <c r="AB256" s="16" t="str">
        <f>IF(AND(AB$10&gt;=$D256,AB$11&lt;=$E256),VLOOKUP($F256,$K$2:AP$8,AB$1,"Falsch"),"")</f>
        <v/>
      </c>
      <c r="AC256" s="16" t="str">
        <f>IF(AND(AC$10&gt;=$D256,AC$11&lt;=$E256),VLOOKUP($F256,$K$2:AQ$8,AC$1,"Falsch"),"")</f>
        <v/>
      </c>
      <c r="AD256" s="16" t="str">
        <f>IF(AND(AD$10&gt;=$D256,AD$11&lt;=$E256),VLOOKUP($F256,$K$2:AR$8,AD$1,"Falsch"),"")</f>
        <v/>
      </c>
    </row>
    <row r="257" spans="9:30" x14ac:dyDescent="0.25">
      <c r="I257" s="21">
        <f t="shared" si="37"/>
        <v>0</v>
      </c>
      <c r="K257" s="25">
        <f t="shared" si="36"/>
        <v>0</v>
      </c>
      <c r="L257" s="16" t="str">
        <f>IF(AND(L$10&gt;=$D257,L$11&lt;=$E257),VLOOKUP($F257,$K$2:Z$8,L$1,"Falsch"),"")</f>
        <v/>
      </c>
      <c r="M257" s="16" t="str">
        <f>IF(AND(M$10&gt;=$D257,M$11&lt;=$E257),VLOOKUP($F257,$K$2:AA$8,M$1,"Falsch"),"")</f>
        <v/>
      </c>
      <c r="N257" s="16" t="str">
        <f>IF(AND(N$10&gt;=$D257,N$11&lt;=$E257),VLOOKUP($F257,$K$2:AB$8,N$1,"Falsch"),"")</f>
        <v/>
      </c>
      <c r="O257" s="16" t="str">
        <f>IF(AND(O$10&gt;=$D257,O$11&lt;=$E257),VLOOKUP($F257,$K$2:AC$8,O$1,"Falsch"),"")</f>
        <v/>
      </c>
      <c r="P257" s="16" t="str">
        <f>IF(AND(P$10&gt;=$D257,P$11&lt;=$E257),VLOOKUP($F257,$K$2:AD$8,P$1,"Falsch"),"")</f>
        <v/>
      </c>
      <c r="Q257" s="16" t="str">
        <f>IF(AND(Q$10&gt;=$D257,Q$11&lt;=$E257),VLOOKUP($F257,$K$2:AE$8,Q$1,"Falsch"),"")</f>
        <v/>
      </c>
      <c r="R257" s="16" t="str">
        <f>IF(AND(R$10&gt;=$D257,R$11&lt;=$E257),VLOOKUP($F257,$K$2:AF$8,R$1,"Falsch"),"")</f>
        <v/>
      </c>
      <c r="S257" s="16" t="str">
        <f>IF(AND(S$10&gt;=$D257,S$11&lt;=$E257),VLOOKUP($F257,$K$2:AG$8,S$1,"Falsch"),"")</f>
        <v/>
      </c>
      <c r="T257" s="16" t="str">
        <f>IF(AND(T$10&gt;=$D257,T$11&lt;=$E257),VLOOKUP($F257,$K$2:AH$8,T$1,"Falsch"),"")</f>
        <v/>
      </c>
      <c r="U257" s="16" t="str">
        <f>IF(AND(U$10&gt;=$D257,U$11&lt;=$E257),VLOOKUP($F257,$K$2:AI$8,U$1,"Falsch"),"")</f>
        <v/>
      </c>
      <c r="V257" s="16" t="str">
        <f>IF(AND(V$10&gt;=$D257,V$11&lt;=$E257),VLOOKUP($F257,$K$2:AJ$8,V$1,"Falsch"),"")</f>
        <v/>
      </c>
      <c r="W257" s="16" t="str">
        <f>IF(AND(W$10&gt;=$D257,W$11&lt;=$E257),VLOOKUP($F257,$K$2:AK$8,W$1,"Falsch"),"")</f>
        <v/>
      </c>
      <c r="X257" s="16" t="str">
        <f>IF(AND(X$10&gt;=$D257,X$11&lt;=$E257),VLOOKUP($F257,$K$2:AL$8,X$1,"Falsch"),"")</f>
        <v/>
      </c>
      <c r="Y257" s="16" t="str">
        <f>IF(AND(Y$10&gt;=$D257,Y$11&lt;=$E257),VLOOKUP($F257,$K$2:AM$8,Y$1,"Falsch"),"")</f>
        <v/>
      </c>
      <c r="Z257" s="16" t="str">
        <f>IF(AND(Z$10&gt;=$D257,Z$11&lt;=$E257),VLOOKUP($F257,$K$2:AN$8,Z$1,"Falsch"),"")</f>
        <v/>
      </c>
      <c r="AA257" s="16" t="str">
        <f>IF(AND(AA$10&gt;=$D257,AA$11&lt;=$E257),VLOOKUP($F257,$K$2:AO$8,AA$1,"Falsch"),"")</f>
        <v/>
      </c>
      <c r="AB257" s="16" t="str">
        <f>IF(AND(AB$10&gt;=$D257,AB$11&lt;=$E257),VLOOKUP($F257,$K$2:AP$8,AB$1,"Falsch"),"")</f>
        <v/>
      </c>
      <c r="AC257" s="16" t="str">
        <f>IF(AND(AC$10&gt;=$D257,AC$11&lt;=$E257),VLOOKUP($F257,$K$2:AQ$8,AC$1,"Falsch"),"")</f>
        <v/>
      </c>
      <c r="AD257" s="16" t="str">
        <f>IF(AND(AD$10&gt;=$D257,AD$11&lt;=$E257),VLOOKUP($F257,$K$2:AR$8,AD$1,"Falsch"),"")</f>
        <v/>
      </c>
    </row>
    <row r="258" spans="9:30" x14ac:dyDescent="0.25">
      <c r="I258" s="21">
        <f t="shared" si="37"/>
        <v>0</v>
      </c>
      <c r="K258" s="25">
        <f t="shared" si="36"/>
        <v>0</v>
      </c>
      <c r="L258" s="16" t="str">
        <f>IF(AND(L$10&gt;=$D258,L$11&lt;=$E258),VLOOKUP($F258,$K$2:Z$8,L$1,"Falsch"),"")</f>
        <v/>
      </c>
      <c r="M258" s="16" t="str">
        <f>IF(AND(M$10&gt;=$D258,M$11&lt;=$E258),VLOOKUP($F258,$K$2:AA$8,M$1,"Falsch"),"")</f>
        <v/>
      </c>
      <c r="N258" s="16" t="str">
        <f>IF(AND(N$10&gt;=$D258,N$11&lt;=$E258),VLOOKUP($F258,$K$2:AB$8,N$1,"Falsch"),"")</f>
        <v/>
      </c>
      <c r="O258" s="16" t="str">
        <f>IF(AND(O$10&gt;=$D258,O$11&lt;=$E258),VLOOKUP($F258,$K$2:AC$8,O$1,"Falsch"),"")</f>
        <v/>
      </c>
      <c r="P258" s="16" t="str">
        <f>IF(AND(P$10&gt;=$D258,P$11&lt;=$E258),VLOOKUP($F258,$K$2:AD$8,P$1,"Falsch"),"")</f>
        <v/>
      </c>
      <c r="Q258" s="16" t="str">
        <f>IF(AND(Q$10&gt;=$D258,Q$11&lt;=$E258),VLOOKUP($F258,$K$2:AE$8,Q$1,"Falsch"),"")</f>
        <v/>
      </c>
      <c r="R258" s="16" t="str">
        <f>IF(AND(R$10&gt;=$D258,R$11&lt;=$E258),VLOOKUP($F258,$K$2:AF$8,R$1,"Falsch"),"")</f>
        <v/>
      </c>
      <c r="S258" s="16" t="str">
        <f>IF(AND(S$10&gt;=$D258,S$11&lt;=$E258),VLOOKUP($F258,$K$2:AG$8,S$1,"Falsch"),"")</f>
        <v/>
      </c>
      <c r="T258" s="16" t="str">
        <f>IF(AND(T$10&gt;=$D258,T$11&lt;=$E258),VLOOKUP($F258,$K$2:AH$8,T$1,"Falsch"),"")</f>
        <v/>
      </c>
      <c r="U258" s="16" t="str">
        <f>IF(AND(U$10&gt;=$D258,U$11&lt;=$E258),VLOOKUP($F258,$K$2:AI$8,U$1,"Falsch"),"")</f>
        <v/>
      </c>
      <c r="V258" s="16" t="str">
        <f>IF(AND(V$10&gt;=$D258,V$11&lt;=$E258),VLOOKUP($F258,$K$2:AJ$8,V$1,"Falsch"),"")</f>
        <v/>
      </c>
      <c r="W258" s="16" t="str">
        <f>IF(AND(W$10&gt;=$D258,W$11&lt;=$E258),VLOOKUP($F258,$K$2:AK$8,W$1,"Falsch"),"")</f>
        <v/>
      </c>
      <c r="X258" s="16" t="str">
        <f>IF(AND(X$10&gt;=$D258,X$11&lt;=$E258),VLOOKUP($F258,$K$2:AL$8,X$1,"Falsch"),"")</f>
        <v/>
      </c>
      <c r="Y258" s="16" t="str">
        <f>IF(AND(Y$10&gt;=$D258,Y$11&lt;=$E258),VLOOKUP($F258,$K$2:AM$8,Y$1,"Falsch"),"")</f>
        <v/>
      </c>
      <c r="Z258" s="16" t="str">
        <f>IF(AND(Z$10&gt;=$D258,Z$11&lt;=$E258),VLOOKUP($F258,$K$2:AN$8,Z$1,"Falsch"),"")</f>
        <v/>
      </c>
      <c r="AA258" s="16" t="str">
        <f>IF(AND(AA$10&gt;=$D258,AA$11&lt;=$E258),VLOOKUP($F258,$K$2:AO$8,AA$1,"Falsch"),"")</f>
        <v/>
      </c>
      <c r="AB258" s="16" t="str">
        <f>IF(AND(AB$10&gt;=$D258,AB$11&lt;=$E258),VLOOKUP($F258,$K$2:AP$8,AB$1,"Falsch"),"")</f>
        <v/>
      </c>
      <c r="AC258" s="16" t="str">
        <f>IF(AND(AC$10&gt;=$D258,AC$11&lt;=$E258),VLOOKUP($F258,$K$2:AQ$8,AC$1,"Falsch"),"")</f>
        <v/>
      </c>
      <c r="AD258" s="16" t="str">
        <f>IF(AND(AD$10&gt;=$D258,AD$11&lt;=$E258),VLOOKUP($F258,$K$2:AR$8,AD$1,"Falsch"),"")</f>
        <v/>
      </c>
    </row>
    <row r="259" spans="9:30" x14ac:dyDescent="0.25">
      <c r="I259" s="21">
        <f t="shared" si="37"/>
        <v>0</v>
      </c>
      <c r="K259" s="25">
        <f t="shared" si="36"/>
        <v>0</v>
      </c>
      <c r="L259" s="16" t="str">
        <f>IF(AND(L$10&gt;=$D259,L$11&lt;=$E259),VLOOKUP($F259,$K$2:Z$8,L$1,"Falsch"),"")</f>
        <v/>
      </c>
      <c r="M259" s="16" t="str">
        <f>IF(AND(M$10&gt;=$D259,M$11&lt;=$E259),VLOOKUP($F259,$K$2:AA$8,M$1,"Falsch"),"")</f>
        <v/>
      </c>
      <c r="N259" s="16" t="str">
        <f>IF(AND(N$10&gt;=$D259,N$11&lt;=$E259),VLOOKUP($F259,$K$2:AB$8,N$1,"Falsch"),"")</f>
        <v/>
      </c>
      <c r="O259" s="16" t="str">
        <f>IF(AND(O$10&gt;=$D259,O$11&lt;=$E259),VLOOKUP($F259,$K$2:AC$8,O$1,"Falsch"),"")</f>
        <v/>
      </c>
      <c r="P259" s="16" t="str">
        <f>IF(AND(P$10&gt;=$D259,P$11&lt;=$E259),VLOOKUP($F259,$K$2:AD$8,P$1,"Falsch"),"")</f>
        <v/>
      </c>
      <c r="Q259" s="16" t="str">
        <f>IF(AND(Q$10&gt;=$D259,Q$11&lt;=$E259),VLOOKUP($F259,$K$2:AE$8,Q$1,"Falsch"),"")</f>
        <v/>
      </c>
      <c r="R259" s="16" t="str">
        <f>IF(AND(R$10&gt;=$D259,R$11&lt;=$E259),VLOOKUP($F259,$K$2:AF$8,R$1,"Falsch"),"")</f>
        <v/>
      </c>
      <c r="S259" s="16" t="str">
        <f>IF(AND(S$10&gt;=$D259,S$11&lt;=$E259),VLOOKUP($F259,$K$2:AG$8,S$1,"Falsch"),"")</f>
        <v/>
      </c>
      <c r="T259" s="16" t="str">
        <f>IF(AND(T$10&gt;=$D259,T$11&lt;=$E259),VLOOKUP($F259,$K$2:AH$8,T$1,"Falsch"),"")</f>
        <v/>
      </c>
      <c r="U259" s="16" t="str">
        <f>IF(AND(U$10&gt;=$D259,U$11&lt;=$E259),VLOOKUP($F259,$K$2:AI$8,U$1,"Falsch"),"")</f>
        <v/>
      </c>
      <c r="V259" s="16" t="str">
        <f>IF(AND(V$10&gt;=$D259,V$11&lt;=$E259),VLOOKUP($F259,$K$2:AJ$8,V$1,"Falsch"),"")</f>
        <v/>
      </c>
      <c r="W259" s="16" t="str">
        <f>IF(AND(W$10&gt;=$D259,W$11&lt;=$E259),VLOOKUP($F259,$K$2:AK$8,W$1,"Falsch"),"")</f>
        <v/>
      </c>
      <c r="X259" s="16" t="str">
        <f>IF(AND(X$10&gt;=$D259,X$11&lt;=$E259),VLOOKUP($F259,$K$2:AL$8,X$1,"Falsch"),"")</f>
        <v/>
      </c>
      <c r="Y259" s="16" t="str">
        <f>IF(AND(Y$10&gt;=$D259,Y$11&lt;=$E259),VLOOKUP($F259,$K$2:AM$8,Y$1,"Falsch"),"")</f>
        <v/>
      </c>
      <c r="Z259" s="16" t="str">
        <f>IF(AND(Z$10&gt;=$D259,Z$11&lt;=$E259),VLOOKUP($F259,$K$2:AN$8,Z$1,"Falsch"),"")</f>
        <v/>
      </c>
      <c r="AA259" s="16" t="str">
        <f>IF(AND(AA$10&gt;=$D259,AA$11&lt;=$E259),VLOOKUP($F259,$K$2:AO$8,AA$1,"Falsch"),"")</f>
        <v/>
      </c>
      <c r="AB259" s="16" t="str">
        <f>IF(AND(AB$10&gt;=$D259,AB$11&lt;=$E259),VLOOKUP($F259,$K$2:AP$8,AB$1,"Falsch"),"")</f>
        <v/>
      </c>
      <c r="AC259" s="16" t="str">
        <f>IF(AND(AC$10&gt;=$D259,AC$11&lt;=$E259),VLOOKUP($F259,$K$2:AQ$8,AC$1,"Falsch"),"")</f>
        <v/>
      </c>
      <c r="AD259" s="16" t="str">
        <f>IF(AND(AD$10&gt;=$D259,AD$11&lt;=$E259),VLOOKUP($F259,$K$2:AR$8,AD$1,"Falsch"),"")</f>
        <v/>
      </c>
    </row>
    <row r="260" spans="9:30" x14ac:dyDescent="0.25">
      <c r="I260" s="21">
        <f t="shared" si="37"/>
        <v>0</v>
      </c>
      <c r="K260" s="25">
        <f t="shared" si="36"/>
        <v>0</v>
      </c>
      <c r="L260" s="16" t="str">
        <f>IF(AND(L$10&gt;=$D260,L$11&lt;=$E260),VLOOKUP($F260,$K$2:Z$8,L$1,"Falsch"),"")</f>
        <v/>
      </c>
      <c r="M260" s="16" t="str">
        <f>IF(AND(M$10&gt;=$D260,M$11&lt;=$E260),VLOOKUP($F260,$K$2:AA$8,M$1,"Falsch"),"")</f>
        <v/>
      </c>
      <c r="N260" s="16" t="str">
        <f>IF(AND(N$10&gt;=$D260,N$11&lt;=$E260),VLOOKUP($F260,$K$2:AB$8,N$1,"Falsch"),"")</f>
        <v/>
      </c>
      <c r="O260" s="16" t="str">
        <f>IF(AND(O$10&gt;=$D260,O$11&lt;=$E260),VLOOKUP($F260,$K$2:AC$8,O$1,"Falsch"),"")</f>
        <v/>
      </c>
      <c r="P260" s="16" t="str">
        <f>IF(AND(P$10&gt;=$D260,P$11&lt;=$E260),VLOOKUP($F260,$K$2:AD$8,P$1,"Falsch"),"")</f>
        <v/>
      </c>
      <c r="Q260" s="16" t="str">
        <f>IF(AND(Q$10&gt;=$D260,Q$11&lt;=$E260),VLOOKUP($F260,$K$2:AE$8,Q$1,"Falsch"),"")</f>
        <v/>
      </c>
      <c r="R260" s="16" t="str">
        <f>IF(AND(R$10&gt;=$D260,R$11&lt;=$E260),VLOOKUP($F260,$K$2:AF$8,R$1,"Falsch"),"")</f>
        <v/>
      </c>
      <c r="S260" s="16" t="str">
        <f>IF(AND(S$10&gt;=$D260,S$11&lt;=$E260),VLOOKUP($F260,$K$2:AG$8,S$1,"Falsch"),"")</f>
        <v/>
      </c>
      <c r="T260" s="16" t="str">
        <f>IF(AND(T$10&gt;=$D260,T$11&lt;=$E260),VLOOKUP($F260,$K$2:AH$8,T$1,"Falsch"),"")</f>
        <v/>
      </c>
      <c r="U260" s="16" t="str">
        <f>IF(AND(U$10&gt;=$D260,U$11&lt;=$E260),VLOOKUP($F260,$K$2:AI$8,U$1,"Falsch"),"")</f>
        <v/>
      </c>
      <c r="V260" s="16" t="str">
        <f>IF(AND(V$10&gt;=$D260,V$11&lt;=$E260),VLOOKUP($F260,$K$2:AJ$8,V$1,"Falsch"),"")</f>
        <v/>
      </c>
      <c r="W260" s="16" t="str">
        <f>IF(AND(W$10&gt;=$D260,W$11&lt;=$E260),VLOOKUP($F260,$K$2:AK$8,W$1,"Falsch"),"")</f>
        <v/>
      </c>
      <c r="X260" s="16" t="str">
        <f>IF(AND(X$10&gt;=$D260,X$11&lt;=$E260),VLOOKUP($F260,$K$2:AL$8,X$1,"Falsch"),"")</f>
        <v/>
      </c>
      <c r="Y260" s="16" t="str">
        <f>IF(AND(Y$10&gt;=$D260,Y$11&lt;=$E260),VLOOKUP($F260,$K$2:AM$8,Y$1,"Falsch"),"")</f>
        <v/>
      </c>
      <c r="Z260" s="16" t="str">
        <f>IF(AND(Z$10&gt;=$D260,Z$11&lt;=$E260),VLOOKUP($F260,$K$2:AN$8,Z$1,"Falsch"),"")</f>
        <v/>
      </c>
      <c r="AA260" s="16" t="str">
        <f>IF(AND(AA$10&gt;=$D260,AA$11&lt;=$E260),VLOOKUP($F260,$K$2:AO$8,AA$1,"Falsch"),"")</f>
        <v/>
      </c>
      <c r="AB260" s="16" t="str">
        <f>IF(AND(AB$10&gt;=$D260,AB$11&lt;=$E260),VLOOKUP($F260,$K$2:AP$8,AB$1,"Falsch"),"")</f>
        <v/>
      </c>
      <c r="AC260" s="16" t="str">
        <f>IF(AND(AC$10&gt;=$D260,AC$11&lt;=$E260),VLOOKUP($F260,$K$2:AQ$8,AC$1,"Falsch"),"")</f>
        <v/>
      </c>
      <c r="AD260" s="16" t="str">
        <f>IF(AND(AD$10&gt;=$D260,AD$11&lt;=$E260),VLOOKUP($F260,$K$2:AR$8,AD$1,"Falsch"),"")</f>
        <v/>
      </c>
    </row>
    <row r="261" spans="9:30" x14ac:dyDescent="0.25">
      <c r="I261" s="21">
        <f t="shared" si="37"/>
        <v>0</v>
      </c>
      <c r="K261" s="25">
        <f t="shared" si="36"/>
        <v>0</v>
      </c>
      <c r="L261" s="16" t="str">
        <f>IF(AND(L$10&gt;=$D261,L$11&lt;=$E261),VLOOKUP($F261,$K$2:Z$8,L$1,"Falsch"),"")</f>
        <v/>
      </c>
      <c r="M261" s="16" t="str">
        <f>IF(AND(M$10&gt;=$D261,M$11&lt;=$E261),VLOOKUP($F261,$K$2:AA$8,M$1,"Falsch"),"")</f>
        <v/>
      </c>
      <c r="N261" s="16" t="str">
        <f>IF(AND(N$10&gt;=$D261,N$11&lt;=$E261),VLOOKUP($F261,$K$2:AB$8,N$1,"Falsch"),"")</f>
        <v/>
      </c>
      <c r="O261" s="16" t="str">
        <f>IF(AND(O$10&gt;=$D261,O$11&lt;=$E261),VLOOKUP($F261,$K$2:AC$8,O$1,"Falsch"),"")</f>
        <v/>
      </c>
      <c r="P261" s="16" t="str">
        <f>IF(AND(P$10&gt;=$D261,P$11&lt;=$E261),VLOOKUP($F261,$K$2:AD$8,P$1,"Falsch"),"")</f>
        <v/>
      </c>
      <c r="Q261" s="16" t="str">
        <f>IF(AND(Q$10&gt;=$D261,Q$11&lt;=$E261),VLOOKUP($F261,$K$2:AE$8,Q$1,"Falsch"),"")</f>
        <v/>
      </c>
      <c r="R261" s="16" t="str">
        <f>IF(AND(R$10&gt;=$D261,R$11&lt;=$E261),VLOOKUP($F261,$K$2:AF$8,R$1,"Falsch"),"")</f>
        <v/>
      </c>
      <c r="S261" s="16" t="str">
        <f>IF(AND(S$10&gt;=$D261,S$11&lt;=$E261),VLOOKUP($F261,$K$2:AG$8,S$1,"Falsch"),"")</f>
        <v/>
      </c>
      <c r="T261" s="16" t="str">
        <f>IF(AND(T$10&gt;=$D261,T$11&lt;=$E261),VLOOKUP($F261,$K$2:AH$8,T$1,"Falsch"),"")</f>
        <v/>
      </c>
      <c r="U261" s="16" t="str">
        <f>IF(AND(U$10&gt;=$D261,U$11&lt;=$E261),VLOOKUP($F261,$K$2:AI$8,U$1,"Falsch"),"")</f>
        <v/>
      </c>
      <c r="V261" s="16" t="str">
        <f>IF(AND(V$10&gt;=$D261,V$11&lt;=$E261),VLOOKUP($F261,$K$2:AJ$8,V$1,"Falsch"),"")</f>
        <v/>
      </c>
      <c r="W261" s="16" t="str">
        <f>IF(AND(W$10&gt;=$D261,W$11&lt;=$E261),VLOOKUP($F261,$K$2:AK$8,W$1,"Falsch"),"")</f>
        <v/>
      </c>
      <c r="X261" s="16" t="str">
        <f>IF(AND(X$10&gt;=$D261,X$11&lt;=$E261),VLOOKUP($F261,$K$2:AL$8,X$1,"Falsch"),"")</f>
        <v/>
      </c>
      <c r="Y261" s="16" t="str">
        <f>IF(AND(Y$10&gt;=$D261,Y$11&lt;=$E261),VLOOKUP($F261,$K$2:AM$8,Y$1,"Falsch"),"")</f>
        <v/>
      </c>
      <c r="Z261" s="16" t="str">
        <f>IF(AND(Z$10&gt;=$D261,Z$11&lt;=$E261),VLOOKUP($F261,$K$2:AN$8,Z$1,"Falsch"),"")</f>
        <v/>
      </c>
      <c r="AA261" s="16" t="str">
        <f>IF(AND(AA$10&gt;=$D261,AA$11&lt;=$E261),VLOOKUP($F261,$K$2:AO$8,AA$1,"Falsch"),"")</f>
        <v/>
      </c>
      <c r="AB261" s="16" t="str">
        <f>IF(AND(AB$10&gt;=$D261,AB$11&lt;=$E261),VLOOKUP($F261,$K$2:AP$8,AB$1,"Falsch"),"")</f>
        <v/>
      </c>
      <c r="AC261" s="16" t="str">
        <f>IF(AND(AC$10&gt;=$D261,AC$11&lt;=$E261),VLOOKUP($F261,$K$2:AQ$8,AC$1,"Falsch"),"")</f>
        <v/>
      </c>
      <c r="AD261" s="16" t="str">
        <f>IF(AND(AD$10&gt;=$D261,AD$11&lt;=$E261),VLOOKUP($F261,$K$2:AR$8,AD$1,"Falsch"),"")</f>
        <v/>
      </c>
    </row>
    <row r="262" spans="9:30" x14ac:dyDescent="0.25">
      <c r="I262" s="21">
        <f t="shared" si="37"/>
        <v>0</v>
      </c>
      <c r="K262" s="25">
        <f t="shared" si="36"/>
        <v>0</v>
      </c>
      <c r="L262" s="16" t="str">
        <f>IF(AND(L$10&gt;=$D262,L$11&lt;=$E262),VLOOKUP($F262,$K$2:Z$8,L$1,"Falsch"),"")</f>
        <v/>
      </c>
      <c r="M262" s="16" t="str">
        <f>IF(AND(M$10&gt;=$D262,M$11&lt;=$E262),VLOOKUP($F262,$K$2:AA$8,M$1,"Falsch"),"")</f>
        <v/>
      </c>
      <c r="N262" s="16" t="str">
        <f>IF(AND(N$10&gt;=$D262,N$11&lt;=$E262),VLOOKUP($F262,$K$2:AB$8,N$1,"Falsch"),"")</f>
        <v/>
      </c>
      <c r="O262" s="16" t="str">
        <f>IF(AND(O$10&gt;=$D262,O$11&lt;=$E262),VLOOKUP($F262,$K$2:AC$8,O$1,"Falsch"),"")</f>
        <v/>
      </c>
      <c r="P262" s="16" t="str">
        <f>IF(AND(P$10&gt;=$D262,P$11&lt;=$E262),VLOOKUP($F262,$K$2:AD$8,P$1,"Falsch"),"")</f>
        <v/>
      </c>
      <c r="Q262" s="16" t="str">
        <f>IF(AND(Q$10&gt;=$D262,Q$11&lt;=$E262),VLOOKUP($F262,$K$2:AE$8,Q$1,"Falsch"),"")</f>
        <v/>
      </c>
      <c r="R262" s="16" t="str">
        <f>IF(AND(R$10&gt;=$D262,R$11&lt;=$E262),VLOOKUP($F262,$K$2:AF$8,R$1,"Falsch"),"")</f>
        <v/>
      </c>
      <c r="S262" s="16" t="str">
        <f>IF(AND(S$10&gt;=$D262,S$11&lt;=$E262),VLOOKUP($F262,$K$2:AG$8,S$1,"Falsch"),"")</f>
        <v/>
      </c>
      <c r="T262" s="16" t="str">
        <f>IF(AND(T$10&gt;=$D262,T$11&lt;=$E262),VLOOKUP($F262,$K$2:AH$8,T$1,"Falsch"),"")</f>
        <v/>
      </c>
      <c r="U262" s="16" t="str">
        <f>IF(AND(U$10&gt;=$D262,U$11&lt;=$E262),VLOOKUP($F262,$K$2:AI$8,U$1,"Falsch"),"")</f>
        <v/>
      </c>
      <c r="V262" s="16" t="str">
        <f>IF(AND(V$10&gt;=$D262,V$11&lt;=$E262),VLOOKUP($F262,$K$2:AJ$8,V$1,"Falsch"),"")</f>
        <v/>
      </c>
      <c r="W262" s="16" t="str">
        <f>IF(AND(W$10&gt;=$D262,W$11&lt;=$E262),VLOOKUP($F262,$K$2:AK$8,W$1,"Falsch"),"")</f>
        <v/>
      </c>
      <c r="X262" s="16" t="str">
        <f>IF(AND(X$10&gt;=$D262,X$11&lt;=$E262),VLOOKUP($F262,$K$2:AL$8,X$1,"Falsch"),"")</f>
        <v/>
      </c>
      <c r="Y262" s="16" t="str">
        <f>IF(AND(Y$10&gt;=$D262,Y$11&lt;=$E262),VLOOKUP($F262,$K$2:AM$8,Y$1,"Falsch"),"")</f>
        <v/>
      </c>
      <c r="Z262" s="16" t="str">
        <f>IF(AND(Z$10&gt;=$D262,Z$11&lt;=$E262),VLOOKUP($F262,$K$2:AN$8,Z$1,"Falsch"),"")</f>
        <v/>
      </c>
      <c r="AA262" s="16" t="str">
        <f>IF(AND(AA$10&gt;=$D262,AA$11&lt;=$E262),VLOOKUP($F262,$K$2:AO$8,AA$1,"Falsch"),"")</f>
        <v/>
      </c>
      <c r="AB262" s="16" t="str">
        <f>IF(AND(AB$10&gt;=$D262,AB$11&lt;=$E262),VLOOKUP($F262,$K$2:AP$8,AB$1,"Falsch"),"")</f>
        <v/>
      </c>
      <c r="AC262" s="16" t="str">
        <f>IF(AND(AC$10&gt;=$D262,AC$11&lt;=$E262),VLOOKUP($F262,$K$2:AQ$8,AC$1,"Falsch"),"")</f>
        <v/>
      </c>
      <c r="AD262" s="16" t="str">
        <f>IF(AND(AD$10&gt;=$D262,AD$11&lt;=$E262),VLOOKUP($F262,$K$2:AR$8,AD$1,"Falsch"),"")</f>
        <v/>
      </c>
    </row>
    <row r="263" spans="9:30" x14ac:dyDescent="0.25">
      <c r="I263" s="21">
        <f t="shared" si="37"/>
        <v>0</v>
      </c>
      <c r="K263" s="25">
        <f t="shared" si="36"/>
        <v>0</v>
      </c>
      <c r="L263" s="16" t="str">
        <f>IF(AND(L$10&gt;=$D263,L$11&lt;=$E263),VLOOKUP($F263,$K$2:Z$8,L$1,"Falsch"),"")</f>
        <v/>
      </c>
      <c r="M263" s="16" t="str">
        <f>IF(AND(M$10&gt;=$D263,M$11&lt;=$E263),VLOOKUP($F263,$K$2:AA$8,M$1,"Falsch"),"")</f>
        <v/>
      </c>
      <c r="N263" s="16" t="str">
        <f>IF(AND(N$10&gt;=$D263,N$11&lt;=$E263),VLOOKUP($F263,$K$2:AB$8,N$1,"Falsch"),"")</f>
        <v/>
      </c>
      <c r="O263" s="16" t="str">
        <f>IF(AND(O$10&gt;=$D263,O$11&lt;=$E263),VLOOKUP($F263,$K$2:AC$8,O$1,"Falsch"),"")</f>
        <v/>
      </c>
      <c r="P263" s="16" t="str">
        <f>IF(AND(P$10&gt;=$D263,P$11&lt;=$E263),VLOOKUP($F263,$K$2:AD$8,P$1,"Falsch"),"")</f>
        <v/>
      </c>
      <c r="Q263" s="16" t="str">
        <f>IF(AND(Q$10&gt;=$D263,Q$11&lt;=$E263),VLOOKUP($F263,$K$2:AE$8,Q$1,"Falsch"),"")</f>
        <v/>
      </c>
      <c r="R263" s="16" t="str">
        <f>IF(AND(R$10&gt;=$D263,R$11&lt;=$E263),VLOOKUP($F263,$K$2:AF$8,R$1,"Falsch"),"")</f>
        <v/>
      </c>
      <c r="S263" s="16" t="str">
        <f>IF(AND(S$10&gt;=$D263,S$11&lt;=$E263),VLOOKUP($F263,$K$2:AG$8,S$1,"Falsch"),"")</f>
        <v/>
      </c>
      <c r="T263" s="16" t="str">
        <f>IF(AND(T$10&gt;=$D263,T$11&lt;=$E263),VLOOKUP($F263,$K$2:AH$8,T$1,"Falsch"),"")</f>
        <v/>
      </c>
      <c r="U263" s="16" t="str">
        <f>IF(AND(U$10&gt;=$D263,U$11&lt;=$E263),VLOOKUP($F263,$K$2:AI$8,U$1,"Falsch"),"")</f>
        <v/>
      </c>
      <c r="V263" s="16" t="str">
        <f>IF(AND(V$10&gt;=$D263,V$11&lt;=$E263),VLOOKUP($F263,$K$2:AJ$8,V$1,"Falsch"),"")</f>
        <v/>
      </c>
      <c r="W263" s="16" t="str">
        <f>IF(AND(W$10&gt;=$D263,W$11&lt;=$E263),VLOOKUP($F263,$K$2:AK$8,W$1,"Falsch"),"")</f>
        <v/>
      </c>
      <c r="X263" s="16" t="str">
        <f>IF(AND(X$10&gt;=$D263,X$11&lt;=$E263),VLOOKUP($F263,$K$2:AL$8,X$1,"Falsch"),"")</f>
        <v/>
      </c>
      <c r="Y263" s="16" t="str">
        <f>IF(AND(Y$10&gt;=$D263,Y$11&lt;=$E263),VLOOKUP($F263,$K$2:AM$8,Y$1,"Falsch"),"")</f>
        <v/>
      </c>
      <c r="Z263" s="16" t="str">
        <f>IF(AND(Z$10&gt;=$D263,Z$11&lt;=$E263),VLOOKUP($F263,$K$2:AN$8,Z$1,"Falsch"),"")</f>
        <v/>
      </c>
      <c r="AA263" s="16" t="str">
        <f>IF(AND(AA$10&gt;=$D263,AA$11&lt;=$E263),VLOOKUP($F263,$K$2:AO$8,AA$1,"Falsch"),"")</f>
        <v/>
      </c>
      <c r="AB263" s="16" t="str">
        <f>IF(AND(AB$10&gt;=$D263,AB$11&lt;=$E263),VLOOKUP($F263,$K$2:AP$8,AB$1,"Falsch"),"")</f>
        <v/>
      </c>
      <c r="AC263" s="16" t="str">
        <f>IF(AND(AC$10&gt;=$D263,AC$11&lt;=$E263),VLOOKUP($F263,$K$2:AQ$8,AC$1,"Falsch"),"")</f>
        <v/>
      </c>
      <c r="AD263" s="16" t="str">
        <f>IF(AND(AD$10&gt;=$D263,AD$11&lt;=$E263),VLOOKUP($F263,$K$2:AR$8,AD$1,"Falsch"),"")</f>
        <v/>
      </c>
    </row>
    <row r="264" spans="9:30" x14ac:dyDescent="0.25">
      <c r="I264" s="21">
        <f t="shared" si="37"/>
        <v>0</v>
      </c>
      <c r="K264" s="25">
        <f t="shared" si="36"/>
        <v>0</v>
      </c>
      <c r="L264" s="16" t="str">
        <f>IF(AND(L$10&gt;=$D264,L$11&lt;=$E264),VLOOKUP($F264,$K$2:Z$8,L$1,"Falsch"),"")</f>
        <v/>
      </c>
      <c r="M264" s="16" t="str">
        <f>IF(AND(M$10&gt;=$D264,M$11&lt;=$E264),VLOOKUP($F264,$K$2:AA$8,M$1,"Falsch"),"")</f>
        <v/>
      </c>
      <c r="N264" s="16" t="str">
        <f>IF(AND(N$10&gt;=$D264,N$11&lt;=$E264),VLOOKUP($F264,$K$2:AB$8,N$1,"Falsch"),"")</f>
        <v/>
      </c>
      <c r="O264" s="16" t="str">
        <f>IF(AND(O$10&gt;=$D264,O$11&lt;=$E264),VLOOKUP($F264,$K$2:AC$8,O$1,"Falsch"),"")</f>
        <v/>
      </c>
      <c r="P264" s="16" t="str">
        <f>IF(AND(P$10&gt;=$D264,P$11&lt;=$E264),VLOOKUP($F264,$K$2:AD$8,P$1,"Falsch"),"")</f>
        <v/>
      </c>
      <c r="Q264" s="16" t="str">
        <f>IF(AND(Q$10&gt;=$D264,Q$11&lt;=$E264),VLOOKUP($F264,$K$2:AE$8,Q$1,"Falsch"),"")</f>
        <v/>
      </c>
      <c r="R264" s="16" t="str">
        <f>IF(AND(R$10&gt;=$D264,R$11&lt;=$E264),VLOOKUP($F264,$K$2:AF$8,R$1,"Falsch"),"")</f>
        <v/>
      </c>
      <c r="S264" s="16" t="str">
        <f>IF(AND(S$10&gt;=$D264,S$11&lt;=$E264),VLOOKUP($F264,$K$2:AG$8,S$1,"Falsch"),"")</f>
        <v/>
      </c>
      <c r="T264" s="16" t="str">
        <f>IF(AND(T$10&gt;=$D264,T$11&lt;=$E264),VLOOKUP($F264,$K$2:AH$8,T$1,"Falsch"),"")</f>
        <v/>
      </c>
      <c r="U264" s="16" t="str">
        <f>IF(AND(U$10&gt;=$D264,U$11&lt;=$E264),VLOOKUP($F264,$K$2:AI$8,U$1,"Falsch"),"")</f>
        <v/>
      </c>
      <c r="V264" s="16" t="str">
        <f>IF(AND(V$10&gt;=$D264,V$11&lt;=$E264),VLOOKUP($F264,$K$2:AJ$8,V$1,"Falsch"),"")</f>
        <v/>
      </c>
      <c r="W264" s="16" t="str">
        <f>IF(AND(W$10&gt;=$D264,W$11&lt;=$E264),VLOOKUP($F264,$K$2:AK$8,W$1,"Falsch"),"")</f>
        <v/>
      </c>
      <c r="X264" s="16" t="str">
        <f>IF(AND(X$10&gt;=$D264,X$11&lt;=$E264),VLOOKUP($F264,$K$2:AL$8,X$1,"Falsch"),"")</f>
        <v/>
      </c>
      <c r="Y264" s="16" t="str">
        <f>IF(AND(Y$10&gt;=$D264,Y$11&lt;=$E264),VLOOKUP($F264,$K$2:AM$8,Y$1,"Falsch"),"")</f>
        <v/>
      </c>
      <c r="Z264" s="16" t="str">
        <f>IF(AND(Z$10&gt;=$D264,Z$11&lt;=$E264),VLOOKUP($F264,$K$2:AN$8,Z$1,"Falsch"),"")</f>
        <v/>
      </c>
      <c r="AA264" s="16" t="str">
        <f>IF(AND(AA$10&gt;=$D264,AA$11&lt;=$E264),VLOOKUP($F264,$K$2:AO$8,AA$1,"Falsch"),"")</f>
        <v/>
      </c>
      <c r="AB264" s="16" t="str">
        <f>IF(AND(AB$10&gt;=$D264,AB$11&lt;=$E264),VLOOKUP($F264,$K$2:AP$8,AB$1,"Falsch"),"")</f>
        <v/>
      </c>
      <c r="AC264" s="16" t="str">
        <f>IF(AND(AC$10&gt;=$D264,AC$11&lt;=$E264),VLOOKUP($F264,$K$2:AQ$8,AC$1,"Falsch"),"")</f>
        <v/>
      </c>
      <c r="AD264" s="16" t="str">
        <f>IF(AND(AD$10&gt;=$D264,AD$11&lt;=$E264),VLOOKUP($F264,$K$2:AR$8,AD$1,"Falsch"),"")</f>
        <v/>
      </c>
    </row>
    <row r="265" spans="9:30" x14ac:dyDescent="0.25">
      <c r="I265" s="21">
        <f t="shared" si="37"/>
        <v>0</v>
      </c>
      <c r="K265" s="25">
        <f t="shared" si="36"/>
        <v>0</v>
      </c>
      <c r="L265" s="16" t="str">
        <f>IF(AND(L$10&gt;=$D265,L$11&lt;=$E265),VLOOKUP($F265,$K$2:Z$8,L$1,"Falsch"),"")</f>
        <v/>
      </c>
      <c r="M265" s="16" t="str">
        <f>IF(AND(M$10&gt;=$D265,M$11&lt;=$E265),VLOOKUP($F265,$K$2:AA$8,M$1,"Falsch"),"")</f>
        <v/>
      </c>
      <c r="N265" s="16" t="str">
        <f>IF(AND(N$10&gt;=$D265,N$11&lt;=$E265),VLOOKUP($F265,$K$2:AB$8,N$1,"Falsch"),"")</f>
        <v/>
      </c>
      <c r="O265" s="16" t="str">
        <f>IF(AND(O$10&gt;=$D265,O$11&lt;=$E265),VLOOKUP($F265,$K$2:AC$8,O$1,"Falsch"),"")</f>
        <v/>
      </c>
      <c r="P265" s="16" t="str">
        <f>IF(AND(P$10&gt;=$D265,P$11&lt;=$E265),VLOOKUP($F265,$K$2:AD$8,P$1,"Falsch"),"")</f>
        <v/>
      </c>
      <c r="Q265" s="16" t="str">
        <f>IF(AND(Q$10&gt;=$D265,Q$11&lt;=$E265),VLOOKUP($F265,$K$2:AE$8,Q$1,"Falsch"),"")</f>
        <v/>
      </c>
      <c r="R265" s="16" t="str">
        <f>IF(AND(R$10&gt;=$D265,R$11&lt;=$E265),VLOOKUP($F265,$K$2:AF$8,R$1,"Falsch"),"")</f>
        <v/>
      </c>
      <c r="S265" s="16" t="str">
        <f>IF(AND(S$10&gt;=$D265,S$11&lt;=$E265),VLOOKUP($F265,$K$2:AG$8,S$1,"Falsch"),"")</f>
        <v/>
      </c>
      <c r="T265" s="16" t="str">
        <f>IF(AND(T$10&gt;=$D265,T$11&lt;=$E265),VLOOKUP($F265,$K$2:AH$8,T$1,"Falsch"),"")</f>
        <v/>
      </c>
      <c r="U265" s="16" t="str">
        <f>IF(AND(U$10&gt;=$D265,U$11&lt;=$E265),VLOOKUP($F265,$K$2:AI$8,U$1,"Falsch"),"")</f>
        <v/>
      </c>
      <c r="V265" s="16" t="str">
        <f>IF(AND(V$10&gt;=$D265,V$11&lt;=$E265),VLOOKUP($F265,$K$2:AJ$8,V$1,"Falsch"),"")</f>
        <v/>
      </c>
      <c r="W265" s="16" t="str">
        <f>IF(AND(W$10&gt;=$D265,W$11&lt;=$E265),VLOOKUP($F265,$K$2:AK$8,W$1,"Falsch"),"")</f>
        <v/>
      </c>
      <c r="X265" s="16" t="str">
        <f>IF(AND(X$10&gt;=$D265,X$11&lt;=$E265),VLOOKUP($F265,$K$2:AL$8,X$1,"Falsch"),"")</f>
        <v/>
      </c>
      <c r="Y265" s="16" t="str">
        <f>IF(AND(Y$10&gt;=$D265,Y$11&lt;=$E265),VLOOKUP($F265,$K$2:AM$8,Y$1,"Falsch"),"")</f>
        <v/>
      </c>
      <c r="Z265" s="16" t="str">
        <f>IF(AND(Z$10&gt;=$D265,Z$11&lt;=$E265),VLOOKUP($F265,$K$2:AN$8,Z$1,"Falsch"),"")</f>
        <v/>
      </c>
      <c r="AA265" s="16" t="str">
        <f>IF(AND(AA$10&gt;=$D265,AA$11&lt;=$E265),VLOOKUP($F265,$K$2:AO$8,AA$1,"Falsch"),"")</f>
        <v/>
      </c>
      <c r="AB265" s="16" t="str">
        <f>IF(AND(AB$10&gt;=$D265,AB$11&lt;=$E265),VLOOKUP($F265,$K$2:AP$8,AB$1,"Falsch"),"")</f>
        <v/>
      </c>
      <c r="AC265" s="16" t="str">
        <f>IF(AND(AC$10&gt;=$D265,AC$11&lt;=$E265),VLOOKUP($F265,$K$2:AQ$8,AC$1,"Falsch"),"")</f>
        <v/>
      </c>
      <c r="AD265" s="16" t="str">
        <f>IF(AND(AD$10&gt;=$D265,AD$11&lt;=$E265),VLOOKUP($F265,$K$2:AR$8,AD$1,"Falsch"),"")</f>
        <v/>
      </c>
    </row>
    <row r="266" spans="9:30" x14ac:dyDescent="0.25">
      <c r="I266" s="21">
        <f t="shared" si="37"/>
        <v>0</v>
      </c>
      <c r="K266" s="25">
        <f t="shared" si="36"/>
        <v>0</v>
      </c>
      <c r="L266" s="16" t="str">
        <f>IF(AND(L$10&gt;=$D266,L$11&lt;=$E266),VLOOKUP($F266,$K$2:Z$8,L$1,"Falsch"),"")</f>
        <v/>
      </c>
      <c r="M266" s="16" t="str">
        <f>IF(AND(M$10&gt;=$D266,M$11&lt;=$E266),VLOOKUP($F266,$K$2:AA$8,M$1,"Falsch"),"")</f>
        <v/>
      </c>
      <c r="N266" s="16" t="str">
        <f>IF(AND(N$10&gt;=$D266,N$11&lt;=$E266),VLOOKUP($F266,$K$2:AB$8,N$1,"Falsch"),"")</f>
        <v/>
      </c>
      <c r="O266" s="16" t="str">
        <f>IF(AND(O$10&gt;=$D266,O$11&lt;=$E266),VLOOKUP($F266,$K$2:AC$8,O$1,"Falsch"),"")</f>
        <v/>
      </c>
      <c r="P266" s="16" t="str">
        <f>IF(AND(P$10&gt;=$D266,P$11&lt;=$E266),VLOOKUP($F266,$K$2:AD$8,P$1,"Falsch"),"")</f>
        <v/>
      </c>
      <c r="Q266" s="16" t="str">
        <f>IF(AND(Q$10&gt;=$D266,Q$11&lt;=$E266),VLOOKUP($F266,$K$2:AE$8,Q$1,"Falsch"),"")</f>
        <v/>
      </c>
      <c r="R266" s="16" t="str">
        <f>IF(AND(R$10&gt;=$D266,R$11&lt;=$E266),VLOOKUP($F266,$K$2:AF$8,R$1,"Falsch"),"")</f>
        <v/>
      </c>
      <c r="S266" s="16" t="str">
        <f>IF(AND(S$10&gt;=$D266,S$11&lt;=$E266),VLOOKUP($F266,$K$2:AG$8,S$1,"Falsch"),"")</f>
        <v/>
      </c>
      <c r="T266" s="16" t="str">
        <f>IF(AND(T$10&gt;=$D266,T$11&lt;=$E266),VLOOKUP($F266,$K$2:AH$8,T$1,"Falsch"),"")</f>
        <v/>
      </c>
      <c r="U266" s="16" t="str">
        <f>IF(AND(U$10&gt;=$D266,U$11&lt;=$E266),VLOOKUP($F266,$K$2:AI$8,U$1,"Falsch"),"")</f>
        <v/>
      </c>
      <c r="V266" s="16" t="str">
        <f>IF(AND(V$10&gt;=$D266,V$11&lt;=$E266),VLOOKUP($F266,$K$2:AJ$8,V$1,"Falsch"),"")</f>
        <v/>
      </c>
      <c r="W266" s="16" t="str">
        <f>IF(AND(W$10&gt;=$D266,W$11&lt;=$E266),VLOOKUP($F266,$K$2:AK$8,W$1,"Falsch"),"")</f>
        <v/>
      </c>
      <c r="X266" s="16" t="str">
        <f>IF(AND(X$10&gt;=$D266,X$11&lt;=$E266),VLOOKUP($F266,$K$2:AL$8,X$1,"Falsch"),"")</f>
        <v/>
      </c>
      <c r="Y266" s="16" t="str">
        <f>IF(AND(Y$10&gt;=$D266,Y$11&lt;=$E266),VLOOKUP($F266,$K$2:AM$8,Y$1,"Falsch"),"")</f>
        <v/>
      </c>
      <c r="Z266" s="16" t="str">
        <f>IF(AND(Z$10&gt;=$D266,Z$11&lt;=$E266),VLOOKUP($F266,$K$2:AN$8,Z$1,"Falsch"),"")</f>
        <v/>
      </c>
      <c r="AA266" s="16" t="str">
        <f>IF(AND(AA$10&gt;=$D266,AA$11&lt;=$E266),VLOOKUP($F266,$K$2:AO$8,AA$1,"Falsch"),"")</f>
        <v/>
      </c>
      <c r="AB266" s="16" t="str">
        <f>IF(AND(AB$10&gt;=$D266,AB$11&lt;=$E266),VLOOKUP($F266,$K$2:AP$8,AB$1,"Falsch"),"")</f>
        <v/>
      </c>
      <c r="AC266" s="16" t="str">
        <f>IF(AND(AC$10&gt;=$D266,AC$11&lt;=$E266),VLOOKUP($F266,$K$2:AQ$8,AC$1,"Falsch"),"")</f>
        <v/>
      </c>
      <c r="AD266" s="16" t="str">
        <f>IF(AND(AD$10&gt;=$D266,AD$11&lt;=$E266),VLOOKUP($F266,$K$2:AR$8,AD$1,"Falsch"),"")</f>
        <v/>
      </c>
    </row>
    <row r="267" spans="9:30" x14ac:dyDescent="0.25">
      <c r="I267" s="21">
        <f t="shared" si="37"/>
        <v>0</v>
      </c>
      <c r="K267" s="25">
        <f t="shared" si="36"/>
        <v>0</v>
      </c>
      <c r="L267" s="16" t="str">
        <f>IF(AND(L$10&gt;=$D267,L$11&lt;=$E267),VLOOKUP($F267,$K$2:Z$8,L$1,"Falsch"),"")</f>
        <v/>
      </c>
      <c r="M267" s="16" t="str">
        <f>IF(AND(M$10&gt;=$D267,M$11&lt;=$E267),VLOOKUP($F267,$K$2:AA$8,M$1,"Falsch"),"")</f>
        <v/>
      </c>
      <c r="N267" s="16" t="str">
        <f>IF(AND(N$10&gt;=$D267,N$11&lt;=$E267),VLOOKUP($F267,$K$2:AB$8,N$1,"Falsch"),"")</f>
        <v/>
      </c>
      <c r="O267" s="16" t="str">
        <f>IF(AND(O$10&gt;=$D267,O$11&lt;=$E267),VLOOKUP($F267,$K$2:AC$8,O$1,"Falsch"),"")</f>
        <v/>
      </c>
      <c r="P267" s="16" t="str">
        <f>IF(AND(P$10&gt;=$D267,P$11&lt;=$E267),VLOOKUP($F267,$K$2:AD$8,P$1,"Falsch"),"")</f>
        <v/>
      </c>
      <c r="Q267" s="16" t="str">
        <f>IF(AND(Q$10&gt;=$D267,Q$11&lt;=$E267),VLOOKUP($F267,$K$2:AE$8,Q$1,"Falsch"),"")</f>
        <v/>
      </c>
      <c r="R267" s="16" t="str">
        <f>IF(AND(R$10&gt;=$D267,R$11&lt;=$E267),VLOOKUP($F267,$K$2:AF$8,R$1,"Falsch"),"")</f>
        <v/>
      </c>
      <c r="S267" s="16" t="str">
        <f>IF(AND(S$10&gt;=$D267,S$11&lt;=$E267),VLOOKUP($F267,$K$2:AG$8,S$1,"Falsch"),"")</f>
        <v/>
      </c>
      <c r="T267" s="16" t="str">
        <f>IF(AND(T$10&gt;=$D267,T$11&lt;=$E267),VLOOKUP($F267,$K$2:AH$8,T$1,"Falsch"),"")</f>
        <v/>
      </c>
      <c r="U267" s="16" t="str">
        <f>IF(AND(U$10&gt;=$D267,U$11&lt;=$E267),VLOOKUP($F267,$K$2:AI$8,U$1,"Falsch"),"")</f>
        <v/>
      </c>
      <c r="V267" s="16" t="str">
        <f>IF(AND(V$10&gt;=$D267,V$11&lt;=$E267),VLOOKUP($F267,$K$2:AJ$8,V$1,"Falsch"),"")</f>
        <v/>
      </c>
      <c r="W267" s="16" t="str">
        <f>IF(AND(W$10&gt;=$D267,W$11&lt;=$E267),VLOOKUP($F267,$K$2:AK$8,W$1,"Falsch"),"")</f>
        <v/>
      </c>
      <c r="X267" s="16" t="str">
        <f>IF(AND(X$10&gt;=$D267,X$11&lt;=$E267),VLOOKUP($F267,$K$2:AL$8,X$1,"Falsch"),"")</f>
        <v/>
      </c>
      <c r="Y267" s="16" t="str">
        <f>IF(AND(Y$10&gt;=$D267,Y$11&lt;=$E267),VLOOKUP($F267,$K$2:AM$8,Y$1,"Falsch"),"")</f>
        <v/>
      </c>
      <c r="Z267" s="16" t="str">
        <f>IF(AND(Z$10&gt;=$D267,Z$11&lt;=$E267),VLOOKUP($F267,$K$2:AN$8,Z$1,"Falsch"),"")</f>
        <v/>
      </c>
      <c r="AA267" s="16" t="str">
        <f>IF(AND(AA$10&gt;=$D267,AA$11&lt;=$E267),VLOOKUP($F267,$K$2:AO$8,AA$1,"Falsch"),"")</f>
        <v/>
      </c>
      <c r="AB267" s="16" t="str">
        <f>IF(AND(AB$10&gt;=$D267,AB$11&lt;=$E267),VLOOKUP($F267,$K$2:AP$8,AB$1,"Falsch"),"")</f>
        <v/>
      </c>
      <c r="AC267" s="16" t="str">
        <f>IF(AND(AC$10&gt;=$D267,AC$11&lt;=$E267),VLOOKUP($F267,$K$2:AQ$8,AC$1,"Falsch"),"")</f>
        <v/>
      </c>
      <c r="AD267" s="16" t="str">
        <f>IF(AND(AD$10&gt;=$D267,AD$11&lt;=$E267),VLOOKUP($F267,$K$2:AR$8,AD$1,"Falsch"),"")</f>
        <v/>
      </c>
    </row>
    <row r="268" spans="9:30" x14ac:dyDescent="0.25">
      <c r="I268" s="21">
        <f t="shared" si="37"/>
        <v>0</v>
      </c>
      <c r="K268" s="25">
        <f t="shared" si="36"/>
        <v>0</v>
      </c>
      <c r="L268" s="16" t="str">
        <f>IF(AND(L$10&gt;=$D268,L$11&lt;=$E268),VLOOKUP($F268,$K$2:Z$8,L$1,"Falsch"),"")</f>
        <v/>
      </c>
      <c r="M268" s="16" t="str">
        <f>IF(AND(M$10&gt;=$D268,M$11&lt;=$E268),VLOOKUP($F268,$K$2:AA$8,M$1,"Falsch"),"")</f>
        <v/>
      </c>
      <c r="N268" s="16" t="str">
        <f>IF(AND(N$10&gt;=$D268,N$11&lt;=$E268),VLOOKUP($F268,$K$2:AB$8,N$1,"Falsch"),"")</f>
        <v/>
      </c>
      <c r="O268" s="16" t="str">
        <f>IF(AND(O$10&gt;=$D268,O$11&lt;=$E268),VLOOKUP($F268,$K$2:AC$8,O$1,"Falsch"),"")</f>
        <v/>
      </c>
      <c r="P268" s="16" t="str">
        <f>IF(AND(P$10&gt;=$D268,P$11&lt;=$E268),VLOOKUP($F268,$K$2:AD$8,P$1,"Falsch"),"")</f>
        <v/>
      </c>
      <c r="Q268" s="16" t="str">
        <f>IF(AND(Q$10&gt;=$D268,Q$11&lt;=$E268),VLOOKUP($F268,$K$2:AE$8,Q$1,"Falsch"),"")</f>
        <v/>
      </c>
      <c r="R268" s="16" t="str">
        <f>IF(AND(R$10&gt;=$D268,R$11&lt;=$E268),VLOOKUP($F268,$K$2:AF$8,R$1,"Falsch"),"")</f>
        <v/>
      </c>
      <c r="S268" s="16" t="str">
        <f>IF(AND(S$10&gt;=$D268,S$11&lt;=$E268),VLOOKUP($F268,$K$2:AG$8,S$1,"Falsch"),"")</f>
        <v/>
      </c>
      <c r="T268" s="16" t="str">
        <f>IF(AND(T$10&gt;=$D268,T$11&lt;=$E268),VLOOKUP($F268,$K$2:AH$8,T$1,"Falsch"),"")</f>
        <v/>
      </c>
      <c r="U268" s="16" t="str">
        <f>IF(AND(U$10&gt;=$D268,U$11&lt;=$E268),VLOOKUP($F268,$K$2:AI$8,U$1,"Falsch"),"")</f>
        <v/>
      </c>
      <c r="V268" s="16" t="str">
        <f>IF(AND(V$10&gt;=$D268,V$11&lt;=$E268),VLOOKUP($F268,$K$2:AJ$8,V$1,"Falsch"),"")</f>
        <v/>
      </c>
      <c r="W268" s="16" t="str">
        <f>IF(AND(W$10&gt;=$D268,W$11&lt;=$E268),VLOOKUP($F268,$K$2:AK$8,W$1,"Falsch"),"")</f>
        <v/>
      </c>
      <c r="X268" s="16" t="str">
        <f>IF(AND(X$10&gt;=$D268,X$11&lt;=$E268),VLOOKUP($F268,$K$2:AL$8,X$1,"Falsch"),"")</f>
        <v/>
      </c>
      <c r="Y268" s="16" t="str">
        <f>IF(AND(Y$10&gt;=$D268,Y$11&lt;=$E268),VLOOKUP($F268,$K$2:AM$8,Y$1,"Falsch"),"")</f>
        <v/>
      </c>
      <c r="Z268" s="16" t="str">
        <f>IF(AND(Z$10&gt;=$D268,Z$11&lt;=$E268),VLOOKUP($F268,$K$2:AN$8,Z$1,"Falsch"),"")</f>
        <v/>
      </c>
      <c r="AA268" s="16" t="str">
        <f>IF(AND(AA$10&gt;=$D268,AA$11&lt;=$E268),VLOOKUP($F268,$K$2:AO$8,AA$1,"Falsch"),"")</f>
        <v/>
      </c>
      <c r="AB268" s="16" t="str">
        <f>IF(AND(AB$10&gt;=$D268,AB$11&lt;=$E268),VLOOKUP($F268,$K$2:AP$8,AB$1,"Falsch"),"")</f>
        <v/>
      </c>
      <c r="AC268" s="16" t="str">
        <f>IF(AND(AC$10&gt;=$D268,AC$11&lt;=$E268),VLOOKUP($F268,$K$2:AQ$8,AC$1,"Falsch"),"")</f>
        <v/>
      </c>
      <c r="AD268" s="16" t="str">
        <f>IF(AND(AD$10&gt;=$D268,AD$11&lt;=$E268),VLOOKUP($F268,$K$2:AR$8,AD$1,"Falsch"),"")</f>
        <v/>
      </c>
    </row>
    <row r="269" spans="9:30" x14ac:dyDescent="0.25">
      <c r="I269" s="21">
        <f t="shared" si="37"/>
        <v>0</v>
      </c>
      <c r="K269" s="25">
        <f t="shared" ref="K269:K332" si="38">SUM(L269:AD269)</f>
        <v>0</v>
      </c>
      <c r="L269" s="16" t="str">
        <f>IF(AND(L$10&gt;=$D269,L$11&lt;=$E269),VLOOKUP($F269,$K$2:Z$8,L$1,"Falsch"),"")</f>
        <v/>
      </c>
      <c r="M269" s="16" t="str">
        <f>IF(AND(M$10&gt;=$D269,M$11&lt;=$E269),VLOOKUP($F269,$K$2:AA$8,M$1,"Falsch"),"")</f>
        <v/>
      </c>
      <c r="N269" s="16" t="str">
        <f>IF(AND(N$10&gt;=$D269,N$11&lt;=$E269),VLOOKUP($F269,$K$2:AB$8,N$1,"Falsch"),"")</f>
        <v/>
      </c>
      <c r="O269" s="16" t="str">
        <f>IF(AND(O$10&gt;=$D269,O$11&lt;=$E269),VLOOKUP($F269,$K$2:AC$8,O$1,"Falsch"),"")</f>
        <v/>
      </c>
      <c r="P269" s="16" t="str">
        <f>IF(AND(P$10&gt;=$D269,P$11&lt;=$E269),VLOOKUP($F269,$K$2:AD$8,P$1,"Falsch"),"")</f>
        <v/>
      </c>
      <c r="Q269" s="16" t="str">
        <f>IF(AND(Q$10&gt;=$D269,Q$11&lt;=$E269),VLOOKUP($F269,$K$2:AE$8,Q$1,"Falsch"),"")</f>
        <v/>
      </c>
      <c r="R269" s="16" t="str">
        <f>IF(AND(R$10&gt;=$D269,R$11&lt;=$E269),VLOOKUP($F269,$K$2:AF$8,R$1,"Falsch"),"")</f>
        <v/>
      </c>
      <c r="S269" s="16" t="str">
        <f>IF(AND(S$10&gt;=$D269,S$11&lt;=$E269),VLOOKUP($F269,$K$2:AG$8,S$1,"Falsch"),"")</f>
        <v/>
      </c>
      <c r="T269" s="16" t="str">
        <f>IF(AND(T$10&gt;=$D269,T$11&lt;=$E269),VLOOKUP($F269,$K$2:AH$8,T$1,"Falsch"),"")</f>
        <v/>
      </c>
      <c r="U269" s="16" t="str">
        <f>IF(AND(U$10&gt;=$D269,U$11&lt;=$E269),VLOOKUP($F269,$K$2:AI$8,U$1,"Falsch"),"")</f>
        <v/>
      </c>
      <c r="V269" s="16" t="str">
        <f>IF(AND(V$10&gt;=$D269,V$11&lt;=$E269),VLOOKUP($F269,$K$2:AJ$8,V$1,"Falsch"),"")</f>
        <v/>
      </c>
      <c r="W269" s="16" t="str">
        <f>IF(AND(W$10&gt;=$D269,W$11&lt;=$E269),VLOOKUP($F269,$K$2:AK$8,W$1,"Falsch"),"")</f>
        <v/>
      </c>
      <c r="X269" s="16" t="str">
        <f>IF(AND(X$10&gt;=$D269,X$11&lt;=$E269),VLOOKUP($F269,$K$2:AL$8,X$1,"Falsch"),"")</f>
        <v/>
      </c>
      <c r="Y269" s="16" t="str">
        <f>IF(AND(Y$10&gt;=$D269,Y$11&lt;=$E269),VLOOKUP($F269,$K$2:AM$8,Y$1,"Falsch"),"")</f>
        <v/>
      </c>
      <c r="Z269" s="16" t="str">
        <f>IF(AND(Z$10&gt;=$D269,Z$11&lt;=$E269),VLOOKUP($F269,$K$2:AN$8,Z$1,"Falsch"),"")</f>
        <v/>
      </c>
      <c r="AA269" s="16" t="str">
        <f>IF(AND(AA$10&gt;=$D269,AA$11&lt;=$E269),VLOOKUP($F269,$K$2:AO$8,AA$1,"Falsch"),"")</f>
        <v/>
      </c>
      <c r="AB269" s="16" t="str">
        <f>IF(AND(AB$10&gt;=$D269,AB$11&lt;=$E269),VLOOKUP($F269,$K$2:AP$8,AB$1,"Falsch"),"")</f>
        <v/>
      </c>
      <c r="AC269" s="16" t="str">
        <f>IF(AND(AC$10&gt;=$D269,AC$11&lt;=$E269),VLOOKUP($F269,$K$2:AQ$8,AC$1,"Falsch"),"")</f>
        <v/>
      </c>
      <c r="AD269" s="16" t="str">
        <f>IF(AND(AD$10&gt;=$D269,AD$11&lt;=$E269),VLOOKUP($F269,$K$2:AR$8,AD$1,"Falsch"),"")</f>
        <v/>
      </c>
    </row>
    <row r="270" spans="9:30" x14ac:dyDescent="0.25">
      <c r="I270" s="21">
        <f t="shared" si="37"/>
        <v>0</v>
      </c>
      <c r="K270" s="25">
        <f t="shared" si="38"/>
        <v>0</v>
      </c>
      <c r="L270" s="16" t="str">
        <f>IF(AND(L$10&gt;=$D270,L$11&lt;=$E270),VLOOKUP($F270,$K$2:Z$8,L$1,"Falsch"),"")</f>
        <v/>
      </c>
      <c r="M270" s="16" t="str">
        <f>IF(AND(M$10&gt;=$D270,M$11&lt;=$E270),VLOOKUP($F270,$K$2:AA$8,M$1,"Falsch"),"")</f>
        <v/>
      </c>
      <c r="N270" s="16" t="str">
        <f>IF(AND(N$10&gt;=$D270,N$11&lt;=$E270),VLOOKUP($F270,$K$2:AB$8,N$1,"Falsch"),"")</f>
        <v/>
      </c>
      <c r="O270" s="16" t="str">
        <f>IF(AND(O$10&gt;=$D270,O$11&lt;=$E270),VLOOKUP($F270,$K$2:AC$8,O$1,"Falsch"),"")</f>
        <v/>
      </c>
      <c r="P270" s="16" t="str">
        <f>IF(AND(P$10&gt;=$D270,P$11&lt;=$E270),VLOOKUP($F270,$K$2:AD$8,P$1,"Falsch"),"")</f>
        <v/>
      </c>
      <c r="Q270" s="16" t="str">
        <f>IF(AND(Q$10&gt;=$D270,Q$11&lt;=$E270),VLOOKUP($F270,$K$2:AE$8,Q$1,"Falsch"),"")</f>
        <v/>
      </c>
      <c r="R270" s="16" t="str">
        <f>IF(AND(R$10&gt;=$D270,R$11&lt;=$E270),VLOOKUP($F270,$K$2:AF$8,R$1,"Falsch"),"")</f>
        <v/>
      </c>
      <c r="S270" s="16" t="str">
        <f>IF(AND(S$10&gt;=$D270,S$11&lt;=$E270),VLOOKUP($F270,$K$2:AG$8,S$1,"Falsch"),"")</f>
        <v/>
      </c>
      <c r="T270" s="16" t="str">
        <f>IF(AND(T$10&gt;=$D270,T$11&lt;=$E270),VLOOKUP($F270,$K$2:AH$8,T$1,"Falsch"),"")</f>
        <v/>
      </c>
      <c r="U270" s="16" t="str">
        <f>IF(AND(U$10&gt;=$D270,U$11&lt;=$E270),VLOOKUP($F270,$K$2:AI$8,U$1,"Falsch"),"")</f>
        <v/>
      </c>
      <c r="V270" s="16" t="str">
        <f>IF(AND(V$10&gt;=$D270,V$11&lt;=$E270),VLOOKUP($F270,$K$2:AJ$8,V$1,"Falsch"),"")</f>
        <v/>
      </c>
      <c r="W270" s="16" t="str">
        <f>IF(AND(W$10&gt;=$D270,W$11&lt;=$E270),VLOOKUP($F270,$K$2:AK$8,W$1,"Falsch"),"")</f>
        <v/>
      </c>
      <c r="X270" s="16" t="str">
        <f>IF(AND(X$10&gt;=$D270,X$11&lt;=$E270),VLOOKUP($F270,$K$2:AL$8,X$1,"Falsch"),"")</f>
        <v/>
      </c>
      <c r="Y270" s="16" t="str">
        <f>IF(AND(Y$10&gt;=$D270,Y$11&lt;=$E270),VLOOKUP($F270,$K$2:AM$8,Y$1,"Falsch"),"")</f>
        <v/>
      </c>
      <c r="Z270" s="16" t="str">
        <f>IF(AND(Z$10&gt;=$D270,Z$11&lt;=$E270),VLOOKUP($F270,$K$2:AN$8,Z$1,"Falsch"),"")</f>
        <v/>
      </c>
      <c r="AA270" s="16" t="str">
        <f>IF(AND(AA$10&gt;=$D270,AA$11&lt;=$E270),VLOOKUP($F270,$K$2:AO$8,AA$1,"Falsch"),"")</f>
        <v/>
      </c>
      <c r="AB270" s="16" t="str">
        <f>IF(AND(AB$10&gt;=$D270,AB$11&lt;=$E270),VLOOKUP($F270,$K$2:AP$8,AB$1,"Falsch"),"")</f>
        <v/>
      </c>
      <c r="AC270" s="16" t="str">
        <f>IF(AND(AC$10&gt;=$D270,AC$11&lt;=$E270),VLOOKUP($F270,$K$2:AQ$8,AC$1,"Falsch"),"")</f>
        <v/>
      </c>
      <c r="AD270" s="16" t="str">
        <f>IF(AND(AD$10&gt;=$D270,AD$11&lt;=$E270),VLOOKUP($F270,$K$2:AR$8,AD$1,"Falsch"),"")</f>
        <v/>
      </c>
    </row>
    <row r="271" spans="9:30" x14ac:dyDescent="0.25">
      <c r="I271" s="21">
        <f t="shared" si="37"/>
        <v>0</v>
      </c>
      <c r="K271" s="25">
        <f t="shared" si="38"/>
        <v>0</v>
      </c>
      <c r="L271" s="16" t="str">
        <f>IF(AND(L$10&gt;=$D271,L$11&lt;=$E271),VLOOKUP($F271,$K$2:Z$8,L$1,"Falsch"),"")</f>
        <v/>
      </c>
      <c r="M271" s="16" t="str">
        <f>IF(AND(M$10&gt;=$D271,M$11&lt;=$E271),VLOOKUP($F271,$K$2:AA$8,M$1,"Falsch"),"")</f>
        <v/>
      </c>
      <c r="N271" s="16" t="str">
        <f>IF(AND(N$10&gt;=$D271,N$11&lt;=$E271),VLOOKUP($F271,$K$2:AB$8,N$1,"Falsch"),"")</f>
        <v/>
      </c>
      <c r="O271" s="16" t="str">
        <f>IF(AND(O$10&gt;=$D271,O$11&lt;=$E271),VLOOKUP($F271,$K$2:AC$8,O$1,"Falsch"),"")</f>
        <v/>
      </c>
      <c r="P271" s="16" t="str">
        <f>IF(AND(P$10&gt;=$D271,P$11&lt;=$E271),VLOOKUP($F271,$K$2:AD$8,P$1,"Falsch"),"")</f>
        <v/>
      </c>
      <c r="Q271" s="16" t="str">
        <f>IF(AND(Q$10&gt;=$D271,Q$11&lt;=$E271),VLOOKUP($F271,$K$2:AE$8,Q$1,"Falsch"),"")</f>
        <v/>
      </c>
      <c r="R271" s="16" t="str">
        <f>IF(AND(R$10&gt;=$D271,R$11&lt;=$E271),VLOOKUP($F271,$K$2:AF$8,R$1,"Falsch"),"")</f>
        <v/>
      </c>
      <c r="S271" s="16" t="str">
        <f>IF(AND(S$10&gt;=$D271,S$11&lt;=$E271),VLOOKUP($F271,$K$2:AG$8,S$1,"Falsch"),"")</f>
        <v/>
      </c>
      <c r="T271" s="16" t="str">
        <f>IF(AND(T$10&gt;=$D271,T$11&lt;=$E271),VLOOKUP($F271,$K$2:AH$8,T$1,"Falsch"),"")</f>
        <v/>
      </c>
      <c r="U271" s="16" t="str">
        <f>IF(AND(U$10&gt;=$D271,U$11&lt;=$E271),VLOOKUP($F271,$K$2:AI$8,U$1,"Falsch"),"")</f>
        <v/>
      </c>
      <c r="V271" s="16" t="str">
        <f>IF(AND(V$10&gt;=$D271,V$11&lt;=$E271),VLOOKUP($F271,$K$2:AJ$8,V$1,"Falsch"),"")</f>
        <v/>
      </c>
      <c r="W271" s="16" t="str">
        <f>IF(AND(W$10&gt;=$D271,W$11&lt;=$E271),VLOOKUP($F271,$K$2:AK$8,W$1,"Falsch"),"")</f>
        <v/>
      </c>
      <c r="X271" s="16" t="str">
        <f>IF(AND(X$10&gt;=$D271,X$11&lt;=$E271),VLOOKUP($F271,$K$2:AL$8,X$1,"Falsch"),"")</f>
        <v/>
      </c>
      <c r="Y271" s="16" t="str">
        <f>IF(AND(Y$10&gt;=$D271,Y$11&lt;=$E271),VLOOKUP($F271,$K$2:AM$8,Y$1,"Falsch"),"")</f>
        <v/>
      </c>
      <c r="Z271" s="16" t="str">
        <f>IF(AND(Z$10&gt;=$D271,Z$11&lt;=$E271),VLOOKUP($F271,$K$2:AN$8,Z$1,"Falsch"),"")</f>
        <v/>
      </c>
      <c r="AA271" s="16" t="str">
        <f>IF(AND(AA$10&gt;=$D271,AA$11&lt;=$E271),VLOOKUP($F271,$K$2:AO$8,AA$1,"Falsch"),"")</f>
        <v/>
      </c>
      <c r="AB271" s="16" t="str">
        <f>IF(AND(AB$10&gt;=$D271,AB$11&lt;=$E271),VLOOKUP($F271,$K$2:AP$8,AB$1,"Falsch"),"")</f>
        <v/>
      </c>
      <c r="AC271" s="16" t="str">
        <f>IF(AND(AC$10&gt;=$D271,AC$11&lt;=$E271),VLOOKUP($F271,$K$2:AQ$8,AC$1,"Falsch"),"")</f>
        <v/>
      </c>
      <c r="AD271" s="16" t="str">
        <f>IF(AND(AD$10&gt;=$D271,AD$11&lt;=$E271),VLOOKUP($F271,$K$2:AR$8,AD$1,"Falsch"),"")</f>
        <v/>
      </c>
    </row>
    <row r="272" spans="9:30" x14ac:dyDescent="0.25">
      <c r="I272" s="21">
        <f t="shared" si="37"/>
        <v>0</v>
      </c>
      <c r="K272" s="25">
        <f t="shared" si="38"/>
        <v>0</v>
      </c>
      <c r="L272" s="16" t="str">
        <f>IF(AND(L$10&gt;=$D272,L$11&lt;=$E272),VLOOKUP($F272,$K$2:Z$8,L$1,"Falsch"),"")</f>
        <v/>
      </c>
      <c r="M272" s="16" t="str">
        <f>IF(AND(M$10&gt;=$D272,M$11&lt;=$E272),VLOOKUP($F272,$K$2:AA$8,M$1,"Falsch"),"")</f>
        <v/>
      </c>
      <c r="N272" s="16" t="str">
        <f>IF(AND(N$10&gt;=$D272,N$11&lt;=$E272),VLOOKUP($F272,$K$2:AB$8,N$1,"Falsch"),"")</f>
        <v/>
      </c>
      <c r="O272" s="16" t="str">
        <f>IF(AND(O$10&gt;=$D272,O$11&lt;=$E272),VLOOKUP($F272,$K$2:AC$8,O$1,"Falsch"),"")</f>
        <v/>
      </c>
      <c r="P272" s="16" t="str">
        <f>IF(AND(P$10&gt;=$D272,P$11&lt;=$E272),VLOOKUP($F272,$K$2:AD$8,P$1,"Falsch"),"")</f>
        <v/>
      </c>
      <c r="Q272" s="16" t="str">
        <f>IF(AND(Q$10&gt;=$D272,Q$11&lt;=$E272),VLOOKUP($F272,$K$2:AE$8,Q$1,"Falsch"),"")</f>
        <v/>
      </c>
      <c r="R272" s="16" t="str">
        <f>IF(AND(R$10&gt;=$D272,R$11&lt;=$E272),VLOOKUP($F272,$K$2:AF$8,R$1,"Falsch"),"")</f>
        <v/>
      </c>
      <c r="S272" s="16" t="str">
        <f>IF(AND(S$10&gt;=$D272,S$11&lt;=$E272),VLOOKUP($F272,$K$2:AG$8,S$1,"Falsch"),"")</f>
        <v/>
      </c>
      <c r="T272" s="16" t="str">
        <f>IF(AND(T$10&gt;=$D272,T$11&lt;=$E272),VLOOKUP($F272,$K$2:AH$8,T$1,"Falsch"),"")</f>
        <v/>
      </c>
      <c r="U272" s="16" t="str">
        <f>IF(AND(U$10&gt;=$D272,U$11&lt;=$E272),VLOOKUP($F272,$K$2:AI$8,U$1,"Falsch"),"")</f>
        <v/>
      </c>
      <c r="V272" s="16" t="str">
        <f>IF(AND(V$10&gt;=$D272,V$11&lt;=$E272),VLOOKUP($F272,$K$2:AJ$8,V$1,"Falsch"),"")</f>
        <v/>
      </c>
      <c r="W272" s="16" t="str">
        <f>IF(AND(W$10&gt;=$D272,W$11&lt;=$E272),VLOOKUP($F272,$K$2:AK$8,W$1,"Falsch"),"")</f>
        <v/>
      </c>
      <c r="X272" s="16" t="str">
        <f>IF(AND(X$10&gt;=$D272,X$11&lt;=$E272),VLOOKUP($F272,$K$2:AL$8,X$1,"Falsch"),"")</f>
        <v/>
      </c>
      <c r="Y272" s="16" t="str">
        <f>IF(AND(Y$10&gt;=$D272,Y$11&lt;=$E272),VLOOKUP($F272,$K$2:AM$8,Y$1,"Falsch"),"")</f>
        <v/>
      </c>
      <c r="Z272" s="16" t="str">
        <f>IF(AND(Z$10&gt;=$D272,Z$11&lt;=$E272),VLOOKUP($F272,$K$2:AN$8,Z$1,"Falsch"),"")</f>
        <v/>
      </c>
      <c r="AA272" s="16" t="str">
        <f>IF(AND(AA$10&gt;=$D272,AA$11&lt;=$E272),VLOOKUP($F272,$K$2:AO$8,AA$1,"Falsch"),"")</f>
        <v/>
      </c>
      <c r="AB272" s="16" t="str">
        <f>IF(AND(AB$10&gt;=$D272,AB$11&lt;=$E272),VLOOKUP($F272,$K$2:AP$8,AB$1,"Falsch"),"")</f>
        <v/>
      </c>
      <c r="AC272" s="16" t="str">
        <f>IF(AND(AC$10&gt;=$D272,AC$11&lt;=$E272),VLOOKUP($F272,$K$2:AQ$8,AC$1,"Falsch"),"")</f>
        <v/>
      </c>
      <c r="AD272" s="16" t="str">
        <f>IF(AND(AD$10&gt;=$D272,AD$11&lt;=$E272),VLOOKUP($F272,$K$2:AR$8,AD$1,"Falsch"),"")</f>
        <v/>
      </c>
    </row>
    <row r="273" spans="9:30" x14ac:dyDescent="0.25">
      <c r="I273" s="21">
        <f t="shared" si="37"/>
        <v>0</v>
      </c>
      <c r="K273" s="25">
        <f t="shared" si="38"/>
        <v>0</v>
      </c>
      <c r="L273" s="16" t="str">
        <f>IF(AND(L$10&gt;=$D273,L$11&lt;=$E273),VLOOKUP($F273,$K$2:Z$8,L$1,"Falsch"),"")</f>
        <v/>
      </c>
      <c r="M273" s="16" t="str">
        <f>IF(AND(M$10&gt;=$D273,M$11&lt;=$E273),VLOOKUP($F273,$K$2:AA$8,M$1,"Falsch"),"")</f>
        <v/>
      </c>
      <c r="N273" s="16" t="str">
        <f>IF(AND(N$10&gt;=$D273,N$11&lt;=$E273),VLOOKUP($F273,$K$2:AB$8,N$1,"Falsch"),"")</f>
        <v/>
      </c>
      <c r="O273" s="16" t="str">
        <f>IF(AND(O$10&gt;=$D273,O$11&lt;=$E273),VLOOKUP($F273,$K$2:AC$8,O$1,"Falsch"),"")</f>
        <v/>
      </c>
      <c r="P273" s="16" t="str">
        <f>IF(AND(P$10&gt;=$D273,P$11&lt;=$E273),VLOOKUP($F273,$K$2:AD$8,P$1,"Falsch"),"")</f>
        <v/>
      </c>
      <c r="Q273" s="16" t="str">
        <f>IF(AND(Q$10&gt;=$D273,Q$11&lt;=$E273),VLOOKUP($F273,$K$2:AE$8,Q$1,"Falsch"),"")</f>
        <v/>
      </c>
      <c r="R273" s="16" t="str">
        <f>IF(AND(R$10&gt;=$D273,R$11&lt;=$E273),VLOOKUP($F273,$K$2:AF$8,R$1,"Falsch"),"")</f>
        <v/>
      </c>
      <c r="S273" s="16" t="str">
        <f>IF(AND(S$10&gt;=$D273,S$11&lt;=$E273),VLOOKUP($F273,$K$2:AG$8,S$1,"Falsch"),"")</f>
        <v/>
      </c>
      <c r="T273" s="16" t="str">
        <f>IF(AND(T$10&gt;=$D273,T$11&lt;=$E273),VLOOKUP($F273,$K$2:AH$8,T$1,"Falsch"),"")</f>
        <v/>
      </c>
      <c r="U273" s="16" t="str">
        <f>IF(AND(U$10&gt;=$D273,U$11&lt;=$E273),VLOOKUP($F273,$K$2:AI$8,U$1,"Falsch"),"")</f>
        <v/>
      </c>
      <c r="V273" s="16" t="str">
        <f>IF(AND(V$10&gt;=$D273,V$11&lt;=$E273),VLOOKUP($F273,$K$2:AJ$8,V$1,"Falsch"),"")</f>
        <v/>
      </c>
      <c r="W273" s="16" t="str">
        <f>IF(AND(W$10&gt;=$D273,W$11&lt;=$E273),VLOOKUP($F273,$K$2:AK$8,W$1,"Falsch"),"")</f>
        <v/>
      </c>
      <c r="X273" s="16" t="str">
        <f>IF(AND(X$10&gt;=$D273,X$11&lt;=$E273),VLOOKUP($F273,$K$2:AL$8,X$1,"Falsch"),"")</f>
        <v/>
      </c>
      <c r="Y273" s="16" t="str">
        <f>IF(AND(Y$10&gt;=$D273,Y$11&lt;=$E273),VLOOKUP($F273,$K$2:AM$8,Y$1,"Falsch"),"")</f>
        <v/>
      </c>
      <c r="Z273" s="16" t="str">
        <f>IF(AND(Z$10&gt;=$D273,Z$11&lt;=$E273),VLOOKUP($F273,$K$2:AN$8,Z$1,"Falsch"),"")</f>
        <v/>
      </c>
      <c r="AA273" s="16" t="str">
        <f>IF(AND(AA$10&gt;=$D273,AA$11&lt;=$E273),VLOOKUP($F273,$K$2:AO$8,AA$1,"Falsch"),"")</f>
        <v/>
      </c>
      <c r="AB273" s="16" t="str">
        <f>IF(AND(AB$10&gt;=$D273,AB$11&lt;=$E273),VLOOKUP($F273,$K$2:AP$8,AB$1,"Falsch"),"")</f>
        <v/>
      </c>
      <c r="AC273" s="16" t="str">
        <f>IF(AND(AC$10&gt;=$D273,AC$11&lt;=$E273),VLOOKUP($F273,$K$2:AQ$8,AC$1,"Falsch"),"")</f>
        <v/>
      </c>
      <c r="AD273" s="16" t="str">
        <f>IF(AND(AD$10&gt;=$D273,AD$11&lt;=$E273),VLOOKUP($F273,$K$2:AR$8,AD$1,"Falsch"),"")</f>
        <v/>
      </c>
    </row>
    <row r="274" spans="9:30" x14ac:dyDescent="0.25">
      <c r="I274" s="21">
        <f t="shared" si="37"/>
        <v>0</v>
      </c>
      <c r="K274" s="25">
        <f t="shared" si="38"/>
        <v>0</v>
      </c>
      <c r="L274" s="16" t="str">
        <f>IF(AND(L$10&gt;=$D274,L$11&lt;=$E274),VLOOKUP($F274,$K$2:Z$8,L$1,"Falsch"),"")</f>
        <v/>
      </c>
      <c r="M274" s="16" t="str">
        <f>IF(AND(M$10&gt;=$D274,M$11&lt;=$E274),VLOOKUP($F274,$K$2:AA$8,M$1,"Falsch"),"")</f>
        <v/>
      </c>
      <c r="N274" s="16" t="str">
        <f>IF(AND(N$10&gt;=$D274,N$11&lt;=$E274),VLOOKUP($F274,$K$2:AB$8,N$1,"Falsch"),"")</f>
        <v/>
      </c>
      <c r="O274" s="16" t="str">
        <f>IF(AND(O$10&gt;=$D274,O$11&lt;=$E274),VLOOKUP($F274,$K$2:AC$8,O$1,"Falsch"),"")</f>
        <v/>
      </c>
      <c r="P274" s="16" t="str">
        <f>IF(AND(P$10&gt;=$D274,P$11&lt;=$E274),VLOOKUP($F274,$K$2:AD$8,P$1,"Falsch"),"")</f>
        <v/>
      </c>
      <c r="Q274" s="16" t="str">
        <f>IF(AND(Q$10&gt;=$D274,Q$11&lt;=$E274),VLOOKUP($F274,$K$2:AE$8,Q$1,"Falsch"),"")</f>
        <v/>
      </c>
      <c r="R274" s="16" t="str">
        <f>IF(AND(R$10&gt;=$D274,R$11&lt;=$E274),VLOOKUP($F274,$K$2:AF$8,R$1,"Falsch"),"")</f>
        <v/>
      </c>
      <c r="S274" s="16" t="str">
        <f>IF(AND(S$10&gt;=$D274,S$11&lt;=$E274),VLOOKUP($F274,$K$2:AG$8,S$1,"Falsch"),"")</f>
        <v/>
      </c>
      <c r="T274" s="16" t="str">
        <f>IF(AND(T$10&gt;=$D274,T$11&lt;=$E274),VLOOKUP($F274,$K$2:AH$8,T$1,"Falsch"),"")</f>
        <v/>
      </c>
      <c r="U274" s="16" t="str">
        <f>IF(AND(U$10&gt;=$D274,U$11&lt;=$E274),VLOOKUP($F274,$K$2:AI$8,U$1,"Falsch"),"")</f>
        <v/>
      </c>
      <c r="V274" s="16" t="str">
        <f>IF(AND(V$10&gt;=$D274,V$11&lt;=$E274),VLOOKUP($F274,$K$2:AJ$8,V$1,"Falsch"),"")</f>
        <v/>
      </c>
      <c r="W274" s="16" t="str">
        <f>IF(AND(W$10&gt;=$D274,W$11&lt;=$E274),VLOOKUP($F274,$K$2:AK$8,W$1,"Falsch"),"")</f>
        <v/>
      </c>
      <c r="X274" s="16" t="str">
        <f>IF(AND(X$10&gt;=$D274,X$11&lt;=$E274),VLOOKUP($F274,$K$2:AL$8,X$1,"Falsch"),"")</f>
        <v/>
      </c>
      <c r="Y274" s="16" t="str">
        <f>IF(AND(Y$10&gt;=$D274,Y$11&lt;=$E274),VLOOKUP($F274,$K$2:AM$8,Y$1,"Falsch"),"")</f>
        <v/>
      </c>
      <c r="Z274" s="16" t="str">
        <f>IF(AND(Z$10&gt;=$D274,Z$11&lt;=$E274),VLOOKUP($F274,$K$2:AN$8,Z$1,"Falsch"),"")</f>
        <v/>
      </c>
      <c r="AA274" s="16" t="str">
        <f>IF(AND(AA$10&gt;=$D274,AA$11&lt;=$E274),VLOOKUP($F274,$K$2:AO$8,AA$1,"Falsch"),"")</f>
        <v/>
      </c>
      <c r="AB274" s="16" t="str">
        <f>IF(AND(AB$10&gt;=$D274,AB$11&lt;=$E274),VLOOKUP($F274,$K$2:AP$8,AB$1,"Falsch"),"")</f>
        <v/>
      </c>
      <c r="AC274" s="16" t="str">
        <f>IF(AND(AC$10&gt;=$D274,AC$11&lt;=$E274),VLOOKUP($F274,$K$2:AQ$8,AC$1,"Falsch"),"")</f>
        <v/>
      </c>
      <c r="AD274" s="16" t="str">
        <f>IF(AND(AD$10&gt;=$D274,AD$11&lt;=$E274),VLOOKUP($F274,$K$2:AR$8,AD$1,"Falsch"),"")</f>
        <v/>
      </c>
    </row>
    <row r="275" spans="9:30" x14ac:dyDescent="0.25">
      <c r="I275" s="21">
        <f t="shared" si="37"/>
        <v>0</v>
      </c>
      <c r="K275" s="25">
        <f t="shared" si="38"/>
        <v>0</v>
      </c>
      <c r="L275" s="16" t="str">
        <f>IF(AND(L$10&gt;=$D275,L$11&lt;=$E275),VLOOKUP($F275,$K$2:Z$8,L$1,"Falsch"),"")</f>
        <v/>
      </c>
      <c r="M275" s="16" t="str">
        <f>IF(AND(M$10&gt;=$D275,M$11&lt;=$E275),VLOOKUP($F275,$K$2:AA$8,M$1,"Falsch"),"")</f>
        <v/>
      </c>
      <c r="N275" s="16" t="str">
        <f>IF(AND(N$10&gt;=$D275,N$11&lt;=$E275),VLOOKUP($F275,$K$2:AB$8,N$1,"Falsch"),"")</f>
        <v/>
      </c>
      <c r="O275" s="16" t="str">
        <f>IF(AND(O$10&gt;=$D275,O$11&lt;=$E275),VLOOKUP($F275,$K$2:AC$8,O$1,"Falsch"),"")</f>
        <v/>
      </c>
      <c r="P275" s="16" t="str">
        <f>IF(AND(P$10&gt;=$D275,P$11&lt;=$E275),VLOOKUP($F275,$K$2:AD$8,P$1,"Falsch"),"")</f>
        <v/>
      </c>
      <c r="Q275" s="16" t="str">
        <f>IF(AND(Q$10&gt;=$D275,Q$11&lt;=$E275),VLOOKUP($F275,$K$2:AE$8,Q$1,"Falsch"),"")</f>
        <v/>
      </c>
      <c r="R275" s="16" t="str">
        <f>IF(AND(R$10&gt;=$D275,R$11&lt;=$E275),VLOOKUP($F275,$K$2:AF$8,R$1,"Falsch"),"")</f>
        <v/>
      </c>
      <c r="S275" s="16" t="str">
        <f>IF(AND(S$10&gt;=$D275,S$11&lt;=$E275),VLOOKUP($F275,$K$2:AG$8,S$1,"Falsch"),"")</f>
        <v/>
      </c>
      <c r="T275" s="16" t="str">
        <f>IF(AND(T$10&gt;=$D275,T$11&lt;=$E275),VLOOKUP($F275,$K$2:AH$8,T$1,"Falsch"),"")</f>
        <v/>
      </c>
      <c r="U275" s="16" t="str">
        <f>IF(AND(U$10&gt;=$D275,U$11&lt;=$E275),VLOOKUP($F275,$K$2:AI$8,U$1,"Falsch"),"")</f>
        <v/>
      </c>
      <c r="V275" s="16" t="str">
        <f>IF(AND(V$10&gt;=$D275,V$11&lt;=$E275),VLOOKUP($F275,$K$2:AJ$8,V$1,"Falsch"),"")</f>
        <v/>
      </c>
      <c r="W275" s="16" t="str">
        <f>IF(AND(W$10&gt;=$D275,W$11&lt;=$E275),VLOOKUP($F275,$K$2:AK$8,W$1,"Falsch"),"")</f>
        <v/>
      </c>
      <c r="X275" s="16" t="str">
        <f>IF(AND(X$10&gt;=$D275,X$11&lt;=$E275),VLOOKUP($F275,$K$2:AL$8,X$1,"Falsch"),"")</f>
        <v/>
      </c>
      <c r="Y275" s="16" t="str">
        <f>IF(AND(Y$10&gt;=$D275,Y$11&lt;=$E275),VLOOKUP($F275,$K$2:AM$8,Y$1,"Falsch"),"")</f>
        <v/>
      </c>
      <c r="Z275" s="16" t="str">
        <f>IF(AND(Z$10&gt;=$D275,Z$11&lt;=$E275),VLOOKUP($F275,$K$2:AN$8,Z$1,"Falsch"),"")</f>
        <v/>
      </c>
      <c r="AA275" s="16" t="str">
        <f>IF(AND(AA$10&gt;=$D275,AA$11&lt;=$E275),VLOOKUP($F275,$K$2:AO$8,AA$1,"Falsch"),"")</f>
        <v/>
      </c>
      <c r="AB275" s="16" t="str">
        <f>IF(AND(AB$10&gt;=$D275,AB$11&lt;=$E275),VLOOKUP($F275,$K$2:AP$8,AB$1,"Falsch"),"")</f>
        <v/>
      </c>
      <c r="AC275" s="16" t="str">
        <f>IF(AND(AC$10&gt;=$D275,AC$11&lt;=$E275),VLOOKUP($F275,$K$2:AQ$8,AC$1,"Falsch"),"")</f>
        <v/>
      </c>
      <c r="AD275" s="16" t="str">
        <f>IF(AND(AD$10&gt;=$D275,AD$11&lt;=$E275),VLOOKUP($F275,$K$2:AR$8,AD$1,"Falsch"),"")</f>
        <v/>
      </c>
    </row>
    <row r="276" spans="9:30" x14ac:dyDescent="0.25">
      <c r="I276" s="21">
        <f t="shared" si="37"/>
        <v>0</v>
      </c>
      <c r="K276" s="25">
        <f t="shared" si="38"/>
        <v>0</v>
      </c>
      <c r="L276" s="16" t="str">
        <f>IF(AND(L$10&gt;=$D276,L$11&lt;=$E276),VLOOKUP($F276,$K$2:Z$8,L$1,"Falsch"),"")</f>
        <v/>
      </c>
      <c r="M276" s="16" t="str">
        <f>IF(AND(M$10&gt;=$D276,M$11&lt;=$E276),VLOOKUP($F276,$K$2:AA$8,M$1,"Falsch"),"")</f>
        <v/>
      </c>
      <c r="N276" s="16" t="str">
        <f>IF(AND(N$10&gt;=$D276,N$11&lt;=$E276),VLOOKUP($F276,$K$2:AB$8,N$1,"Falsch"),"")</f>
        <v/>
      </c>
      <c r="O276" s="16" t="str">
        <f>IF(AND(O$10&gt;=$D276,O$11&lt;=$E276),VLOOKUP($F276,$K$2:AC$8,O$1,"Falsch"),"")</f>
        <v/>
      </c>
      <c r="P276" s="16" t="str">
        <f>IF(AND(P$10&gt;=$D276,P$11&lt;=$E276),VLOOKUP($F276,$K$2:AD$8,P$1,"Falsch"),"")</f>
        <v/>
      </c>
      <c r="Q276" s="16" t="str">
        <f>IF(AND(Q$10&gt;=$D276,Q$11&lt;=$E276),VLOOKUP($F276,$K$2:AE$8,Q$1,"Falsch"),"")</f>
        <v/>
      </c>
      <c r="R276" s="16" t="str">
        <f>IF(AND(R$10&gt;=$D276,R$11&lt;=$E276),VLOOKUP($F276,$K$2:AF$8,R$1,"Falsch"),"")</f>
        <v/>
      </c>
      <c r="S276" s="16" t="str">
        <f>IF(AND(S$10&gt;=$D276,S$11&lt;=$E276),VLOOKUP($F276,$K$2:AG$8,S$1,"Falsch"),"")</f>
        <v/>
      </c>
      <c r="T276" s="16" t="str">
        <f>IF(AND(T$10&gt;=$D276,T$11&lt;=$E276),VLOOKUP($F276,$K$2:AH$8,T$1,"Falsch"),"")</f>
        <v/>
      </c>
      <c r="U276" s="16" t="str">
        <f>IF(AND(U$10&gt;=$D276,U$11&lt;=$E276),VLOOKUP($F276,$K$2:AI$8,U$1,"Falsch"),"")</f>
        <v/>
      </c>
      <c r="V276" s="16" t="str">
        <f>IF(AND(V$10&gt;=$D276,V$11&lt;=$E276),VLOOKUP($F276,$K$2:AJ$8,V$1,"Falsch"),"")</f>
        <v/>
      </c>
      <c r="W276" s="16" t="str">
        <f>IF(AND(W$10&gt;=$D276,W$11&lt;=$E276),VLOOKUP($F276,$K$2:AK$8,W$1,"Falsch"),"")</f>
        <v/>
      </c>
      <c r="X276" s="16" t="str">
        <f>IF(AND(X$10&gt;=$D276,X$11&lt;=$E276),VLOOKUP($F276,$K$2:AL$8,X$1,"Falsch"),"")</f>
        <v/>
      </c>
      <c r="Y276" s="16" t="str">
        <f>IF(AND(Y$10&gt;=$D276,Y$11&lt;=$E276),VLOOKUP($F276,$K$2:AM$8,Y$1,"Falsch"),"")</f>
        <v/>
      </c>
      <c r="Z276" s="16" t="str">
        <f>IF(AND(Z$10&gt;=$D276,Z$11&lt;=$E276),VLOOKUP($F276,$K$2:AN$8,Z$1,"Falsch"),"")</f>
        <v/>
      </c>
      <c r="AA276" s="16" t="str">
        <f>IF(AND(AA$10&gt;=$D276,AA$11&lt;=$E276),VLOOKUP($F276,$K$2:AO$8,AA$1,"Falsch"),"")</f>
        <v/>
      </c>
      <c r="AB276" s="16" t="str">
        <f>IF(AND(AB$10&gt;=$D276,AB$11&lt;=$E276),VLOOKUP($F276,$K$2:AP$8,AB$1,"Falsch"),"")</f>
        <v/>
      </c>
      <c r="AC276" s="16" t="str">
        <f>IF(AND(AC$10&gt;=$D276,AC$11&lt;=$E276),VLOOKUP($F276,$K$2:AQ$8,AC$1,"Falsch"),"")</f>
        <v/>
      </c>
      <c r="AD276" s="16" t="str">
        <f>IF(AND(AD$10&gt;=$D276,AD$11&lt;=$E276),VLOOKUP($F276,$K$2:AR$8,AD$1,"Falsch"),"")</f>
        <v/>
      </c>
    </row>
    <row r="277" spans="9:30" x14ac:dyDescent="0.25">
      <c r="I277" s="21">
        <f t="shared" si="37"/>
        <v>0</v>
      </c>
      <c r="K277" s="25">
        <f t="shared" si="38"/>
        <v>0</v>
      </c>
      <c r="L277" s="16" t="str">
        <f>IF(AND(L$10&gt;=$D277,L$11&lt;=$E277),VLOOKUP($F277,$K$2:Z$8,L$1,"Falsch"),"")</f>
        <v/>
      </c>
      <c r="M277" s="16" t="str">
        <f>IF(AND(M$10&gt;=$D277,M$11&lt;=$E277),VLOOKUP($F277,$K$2:AA$8,M$1,"Falsch"),"")</f>
        <v/>
      </c>
      <c r="N277" s="16" t="str">
        <f>IF(AND(N$10&gt;=$D277,N$11&lt;=$E277),VLOOKUP($F277,$K$2:AB$8,N$1,"Falsch"),"")</f>
        <v/>
      </c>
      <c r="O277" s="16" t="str">
        <f>IF(AND(O$10&gt;=$D277,O$11&lt;=$E277),VLOOKUP($F277,$K$2:AC$8,O$1,"Falsch"),"")</f>
        <v/>
      </c>
      <c r="P277" s="16" t="str">
        <f>IF(AND(P$10&gt;=$D277,P$11&lt;=$E277),VLOOKUP($F277,$K$2:AD$8,P$1,"Falsch"),"")</f>
        <v/>
      </c>
      <c r="Q277" s="16" t="str">
        <f>IF(AND(Q$10&gt;=$D277,Q$11&lt;=$E277),VLOOKUP($F277,$K$2:AE$8,Q$1,"Falsch"),"")</f>
        <v/>
      </c>
      <c r="R277" s="16" t="str">
        <f>IF(AND(R$10&gt;=$D277,R$11&lt;=$E277),VLOOKUP($F277,$K$2:AF$8,R$1,"Falsch"),"")</f>
        <v/>
      </c>
      <c r="S277" s="16" t="str">
        <f>IF(AND(S$10&gt;=$D277,S$11&lt;=$E277),VLOOKUP($F277,$K$2:AG$8,S$1,"Falsch"),"")</f>
        <v/>
      </c>
      <c r="T277" s="16" t="str">
        <f>IF(AND(T$10&gt;=$D277,T$11&lt;=$E277),VLOOKUP($F277,$K$2:AH$8,T$1,"Falsch"),"")</f>
        <v/>
      </c>
      <c r="U277" s="16" t="str">
        <f>IF(AND(U$10&gt;=$D277,U$11&lt;=$E277),VLOOKUP($F277,$K$2:AI$8,U$1,"Falsch"),"")</f>
        <v/>
      </c>
      <c r="V277" s="16" t="str">
        <f>IF(AND(V$10&gt;=$D277,V$11&lt;=$E277),VLOOKUP($F277,$K$2:AJ$8,V$1,"Falsch"),"")</f>
        <v/>
      </c>
      <c r="W277" s="16" t="str">
        <f>IF(AND(W$10&gt;=$D277,W$11&lt;=$E277),VLOOKUP($F277,$K$2:AK$8,W$1,"Falsch"),"")</f>
        <v/>
      </c>
      <c r="X277" s="16" t="str">
        <f>IF(AND(X$10&gt;=$D277,X$11&lt;=$E277),VLOOKUP($F277,$K$2:AL$8,X$1,"Falsch"),"")</f>
        <v/>
      </c>
      <c r="Y277" s="16" t="str">
        <f>IF(AND(Y$10&gt;=$D277,Y$11&lt;=$E277),VLOOKUP($F277,$K$2:AM$8,Y$1,"Falsch"),"")</f>
        <v/>
      </c>
      <c r="Z277" s="16" t="str">
        <f>IF(AND(Z$10&gt;=$D277,Z$11&lt;=$E277),VLOOKUP($F277,$K$2:AN$8,Z$1,"Falsch"),"")</f>
        <v/>
      </c>
      <c r="AA277" s="16" t="str">
        <f>IF(AND(AA$10&gt;=$D277,AA$11&lt;=$E277),VLOOKUP($F277,$K$2:AO$8,AA$1,"Falsch"),"")</f>
        <v/>
      </c>
      <c r="AB277" s="16" t="str">
        <f>IF(AND(AB$10&gt;=$D277,AB$11&lt;=$E277),VLOOKUP($F277,$K$2:AP$8,AB$1,"Falsch"),"")</f>
        <v/>
      </c>
      <c r="AC277" s="16" t="str">
        <f>IF(AND(AC$10&gt;=$D277,AC$11&lt;=$E277),VLOOKUP($F277,$K$2:AQ$8,AC$1,"Falsch"),"")</f>
        <v/>
      </c>
      <c r="AD277" s="16" t="str">
        <f>IF(AND(AD$10&gt;=$D277,AD$11&lt;=$E277),VLOOKUP($F277,$K$2:AR$8,AD$1,"Falsch"),"")</f>
        <v/>
      </c>
    </row>
    <row r="278" spans="9:30" x14ac:dyDescent="0.25">
      <c r="I278" s="21">
        <f t="shared" si="37"/>
        <v>0</v>
      </c>
      <c r="K278" s="25">
        <f t="shared" si="38"/>
        <v>0</v>
      </c>
      <c r="L278" s="16" t="str">
        <f>IF(AND(L$10&gt;=$D278,L$11&lt;=$E278),VLOOKUP($F278,$K$2:Z$8,L$1,"Falsch"),"")</f>
        <v/>
      </c>
      <c r="M278" s="16" t="str">
        <f>IF(AND(M$10&gt;=$D278,M$11&lt;=$E278),VLOOKUP($F278,$K$2:AA$8,M$1,"Falsch"),"")</f>
        <v/>
      </c>
      <c r="N278" s="16" t="str">
        <f>IF(AND(N$10&gt;=$D278,N$11&lt;=$E278),VLOOKUP($F278,$K$2:AB$8,N$1,"Falsch"),"")</f>
        <v/>
      </c>
      <c r="O278" s="16" t="str">
        <f>IF(AND(O$10&gt;=$D278,O$11&lt;=$E278),VLOOKUP($F278,$K$2:AC$8,O$1,"Falsch"),"")</f>
        <v/>
      </c>
      <c r="P278" s="16" t="str">
        <f>IF(AND(P$10&gt;=$D278,P$11&lt;=$E278),VLOOKUP($F278,$K$2:AD$8,P$1,"Falsch"),"")</f>
        <v/>
      </c>
      <c r="Q278" s="16" t="str">
        <f>IF(AND(Q$10&gt;=$D278,Q$11&lt;=$E278),VLOOKUP($F278,$K$2:AE$8,Q$1,"Falsch"),"")</f>
        <v/>
      </c>
      <c r="R278" s="16" t="str">
        <f>IF(AND(R$10&gt;=$D278,R$11&lt;=$E278),VLOOKUP($F278,$K$2:AF$8,R$1,"Falsch"),"")</f>
        <v/>
      </c>
      <c r="S278" s="16" t="str">
        <f>IF(AND(S$10&gt;=$D278,S$11&lt;=$E278),VLOOKUP($F278,$K$2:AG$8,S$1,"Falsch"),"")</f>
        <v/>
      </c>
      <c r="T278" s="16" t="str">
        <f>IF(AND(T$10&gt;=$D278,T$11&lt;=$E278),VLOOKUP($F278,$K$2:AH$8,T$1,"Falsch"),"")</f>
        <v/>
      </c>
      <c r="U278" s="16" t="str">
        <f>IF(AND(U$10&gt;=$D278,U$11&lt;=$E278),VLOOKUP($F278,$K$2:AI$8,U$1,"Falsch"),"")</f>
        <v/>
      </c>
      <c r="V278" s="16" t="str">
        <f>IF(AND(V$10&gt;=$D278,V$11&lt;=$E278),VLOOKUP($F278,$K$2:AJ$8,V$1,"Falsch"),"")</f>
        <v/>
      </c>
      <c r="W278" s="16" t="str">
        <f>IF(AND(W$10&gt;=$D278,W$11&lt;=$E278),VLOOKUP($F278,$K$2:AK$8,W$1,"Falsch"),"")</f>
        <v/>
      </c>
      <c r="X278" s="16" t="str">
        <f>IF(AND(X$10&gt;=$D278,X$11&lt;=$E278),VLOOKUP($F278,$K$2:AL$8,X$1,"Falsch"),"")</f>
        <v/>
      </c>
      <c r="Y278" s="16" t="str">
        <f>IF(AND(Y$10&gt;=$D278,Y$11&lt;=$E278),VLOOKUP($F278,$K$2:AM$8,Y$1,"Falsch"),"")</f>
        <v/>
      </c>
      <c r="Z278" s="16" t="str">
        <f>IF(AND(Z$10&gt;=$D278,Z$11&lt;=$E278),VLOOKUP($F278,$K$2:AN$8,Z$1,"Falsch"),"")</f>
        <v/>
      </c>
      <c r="AA278" s="16" t="str">
        <f>IF(AND(AA$10&gt;=$D278,AA$11&lt;=$E278),VLOOKUP($F278,$K$2:AO$8,AA$1,"Falsch"),"")</f>
        <v/>
      </c>
      <c r="AB278" s="16" t="str">
        <f>IF(AND(AB$10&gt;=$D278,AB$11&lt;=$E278),VLOOKUP($F278,$K$2:AP$8,AB$1,"Falsch"),"")</f>
        <v/>
      </c>
      <c r="AC278" s="16" t="str">
        <f>IF(AND(AC$10&gt;=$D278,AC$11&lt;=$E278),VLOOKUP($F278,$K$2:AQ$8,AC$1,"Falsch"),"")</f>
        <v/>
      </c>
      <c r="AD278" s="16" t="str">
        <f>IF(AND(AD$10&gt;=$D278,AD$11&lt;=$E278),VLOOKUP($F278,$K$2:AR$8,AD$1,"Falsch"),"")</f>
        <v/>
      </c>
    </row>
    <row r="279" spans="9:30" x14ac:dyDescent="0.25">
      <c r="I279" s="21">
        <f t="shared" si="37"/>
        <v>0</v>
      </c>
      <c r="K279" s="25">
        <f t="shared" si="38"/>
        <v>0</v>
      </c>
      <c r="L279" s="16" t="str">
        <f>IF(AND(L$10&gt;=$D279,L$11&lt;=$E279),VLOOKUP($F279,$K$2:Z$8,L$1,"Falsch"),"")</f>
        <v/>
      </c>
      <c r="M279" s="16" t="str">
        <f>IF(AND(M$10&gt;=$D279,M$11&lt;=$E279),VLOOKUP($F279,$K$2:AA$8,M$1,"Falsch"),"")</f>
        <v/>
      </c>
      <c r="N279" s="16" t="str">
        <f>IF(AND(N$10&gt;=$D279,N$11&lt;=$E279),VLOOKUP($F279,$K$2:AB$8,N$1,"Falsch"),"")</f>
        <v/>
      </c>
      <c r="O279" s="16" t="str">
        <f>IF(AND(O$10&gt;=$D279,O$11&lt;=$E279),VLOOKUP($F279,$K$2:AC$8,O$1,"Falsch"),"")</f>
        <v/>
      </c>
      <c r="P279" s="16" t="str">
        <f>IF(AND(P$10&gt;=$D279,P$11&lt;=$E279),VLOOKUP($F279,$K$2:AD$8,P$1,"Falsch"),"")</f>
        <v/>
      </c>
      <c r="Q279" s="16" t="str">
        <f>IF(AND(Q$10&gt;=$D279,Q$11&lt;=$E279),VLOOKUP($F279,$K$2:AE$8,Q$1,"Falsch"),"")</f>
        <v/>
      </c>
      <c r="R279" s="16" t="str">
        <f>IF(AND(R$10&gt;=$D279,R$11&lt;=$E279),VLOOKUP($F279,$K$2:AF$8,R$1,"Falsch"),"")</f>
        <v/>
      </c>
      <c r="S279" s="16" t="str">
        <f>IF(AND(S$10&gt;=$D279,S$11&lt;=$E279),VLOOKUP($F279,$K$2:AG$8,S$1,"Falsch"),"")</f>
        <v/>
      </c>
      <c r="T279" s="16" t="str">
        <f>IF(AND(T$10&gt;=$D279,T$11&lt;=$E279),VLOOKUP($F279,$K$2:AH$8,T$1,"Falsch"),"")</f>
        <v/>
      </c>
      <c r="U279" s="16" t="str">
        <f>IF(AND(U$10&gt;=$D279,U$11&lt;=$E279),VLOOKUP($F279,$K$2:AI$8,U$1,"Falsch"),"")</f>
        <v/>
      </c>
      <c r="V279" s="16" t="str">
        <f>IF(AND(V$10&gt;=$D279,V$11&lt;=$E279),VLOOKUP($F279,$K$2:AJ$8,V$1,"Falsch"),"")</f>
        <v/>
      </c>
      <c r="W279" s="16" t="str">
        <f>IF(AND(W$10&gt;=$D279,W$11&lt;=$E279),VLOOKUP($F279,$K$2:AK$8,W$1,"Falsch"),"")</f>
        <v/>
      </c>
      <c r="X279" s="16" t="str">
        <f>IF(AND(X$10&gt;=$D279,X$11&lt;=$E279),VLOOKUP($F279,$K$2:AL$8,X$1,"Falsch"),"")</f>
        <v/>
      </c>
      <c r="Y279" s="16" t="str">
        <f>IF(AND(Y$10&gt;=$D279,Y$11&lt;=$E279),VLOOKUP($F279,$K$2:AM$8,Y$1,"Falsch"),"")</f>
        <v/>
      </c>
      <c r="Z279" s="16" t="str">
        <f>IF(AND(Z$10&gt;=$D279,Z$11&lt;=$E279),VLOOKUP($F279,$K$2:AN$8,Z$1,"Falsch"),"")</f>
        <v/>
      </c>
      <c r="AA279" s="16" t="str">
        <f>IF(AND(AA$10&gt;=$D279,AA$11&lt;=$E279),VLOOKUP($F279,$K$2:AO$8,AA$1,"Falsch"),"")</f>
        <v/>
      </c>
      <c r="AB279" s="16" t="str">
        <f>IF(AND(AB$10&gt;=$D279,AB$11&lt;=$E279),VLOOKUP($F279,$K$2:AP$8,AB$1,"Falsch"),"")</f>
        <v/>
      </c>
      <c r="AC279" s="16" t="str">
        <f>IF(AND(AC$10&gt;=$D279,AC$11&lt;=$E279),VLOOKUP($F279,$K$2:AQ$8,AC$1,"Falsch"),"")</f>
        <v/>
      </c>
      <c r="AD279" s="16" t="str">
        <f>IF(AND(AD$10&gt;=$D279,AD$11&lt;=$E279),VLOOKUP($F279,$K$2:AR$8,AD$1,"Falsch"),"")</f>
        <v/>
      </c>
    </row>
    <row r="280" spans="9:30" x14ac:dyDescent="0.25">
      <c r="I280" s="21">
        <f t="shared" ref="I280:I343" si="39">E280-D280</f>
        <v>0</v>
      </c>
      <c r="K280" s="25">
        <f t="shared" si="38"/>
        <v>0</v>
      </c>
      <c r="L280" s="16" t="str">
        <f>IF(AND(L$10&gt;=$D280,L$11&lt;=$E280),VLOOKUP($F280,$K$2:Z$8,L$1,"Falsch"),"")</f>
        <v/>
      </c>
      <c r="M280" s="16" t="str">
        <f>IF(AND(M$10&gt;=$D280,M$11&lt;=$E280),VLOOKUP($F280,$K$2:AA$8,M$1,"Falsch"),"")</f>
        <v/>
      </c>
      <c r="N280" s="16" t="str">
        <f>IF(AND(N$10&gt;=$D280,N$11&lt;=$E280),VLOOKUP($F280,$K$2:AB$8,N$1,"Falsch"),"")</f>
        <v/>
      </c>
      <c r="O280" s="16" t="str">
        <f>IF(AND(O$10&gt;=$D280,O$11&lt;=$E280),VLOOKUP($F280,$K$2:AC$8,O$1,"Falsch"),"")</f>
        <v/>
      </c>
      <c r="P280" s="16" t="str">
        <f>IF(AND(P$10&gt;=$D280,P$11&lt;=$E280),VLOOKUP($F280,$K$2:AD$8,P$1,"Falsch"),"")</f>
        <v/>
      </c>
      <c r="Q280" s="16" t="str">
        <f>IF(AND(Q$10&gt;=$D280,Q$11&lt;=$E280),VLOOKUP($F280,$K$2:AE$8,Q$1,"Falsch"),"")</f>
        <v/>
      </c>
      <c r="R280" s="16" t="str">
        <f>IF(AND(R$10&gt;=$D280,R$11&lt;=$E280),VLOOKUP($F280,$K$2:AF$8,R$1,"Falsch"),"")</f>
        <v/>
      </c>
      <c r="S280" s="16" t="str">
        <f>IF(AND(S$10&gt;=$D280,S$11&lt;=$E280),VLOOKUP($F280,$K$2:AG$8,S$1,"Falsch"),"")</f>
        <v/>
      </c>
      <c r="T280" s="16" t="str">
        <f>IF(AND(T$10&gt;=$D280,T$11&lt;=$E280),VLOOKUP($F280,$K$2:AH$8,T$1,"Falsch"),"")</f>
        <v/>
      </c>
      <c r="U280" s="16" t="str">
        <f>IF(AND(U$10&gt;=$D280,U$11&lt;=$E280),VLOOKUP($F280,$K$2:AI$8,U$1,"Falsch"),"")</f>
        <v/>
      </c>
      <c r="V280" s="16" t="str">
        <f>IF(AND(V$10&gt;=$D280,V$11&lt;=$E280),VLOOKUP($F280,$K$2:AJ$8,V$1,"Falsch"),"")</f>
        <v/>
      </c>
      <c r="W280" s="16" t="str">
        <f>IF(AND(W$10&gt;=$D280,W$11&lt;=$E280),VLOOKUP($F280,$K$2:AK$8,W$1,"Falsch"),"")</f>
        <v/>
      </c>
      <c r="X280" s="16" t="str">
        <f>IF(AND(X$10&gt;=$D280,X$11&lt;=$E280),VLOOKUP($F280,$K$2:AL$8,X$1,"Falsch"),"")</f>
        <v/>
      </c>
      <c r="Y280" s="16" t="str">
        <f>IF(AND(Y$10&gt;=$D280,Y$11&lt;=$E280),VLOOKUP($F280,$K$2:AM$8,Y$1,"Falsch"),"")</f>
        <v/>
      </c>
      <c r="Z280" s="16" t="str">
        <f>IF(AND(Z$10&gt;=$D280,Z$11&lt;=$E280),VLOOKUP($F280,$K$2:AN$8,Z$1,"Falsch"),"")</f>
        <v/>
      </c>
      <c r="AA280" s="16" t="str">
        <f>IF(AND(AA$10&gt;=$D280,AA$11&lt;=$E280),VLOOKUP($F280,$K$2:AO$8,AA$1,"Falsch"),"")</f>
        <v/>
      </c>
      <c r="AB280" s="16" t="str">
        <f>IF(AND(AB$10&gt;=$D280,AB$11&lt;=$E280),VLOOKUP($F280,$K$2:AP$8,AB$1,"Falsch"),"")</f>
        <v/>
      </c>
      <c r="AC280" s="16" t="str">
        <f>IF(AND(AC$10&gt;=$D280,AC$11&lt;=$E280),VLOOKUP($F280,$K$2:AQ$8,AC$1,"Falsch"),"")</f>
        <v/>
      </c>
      <c r="AD280" s="16" t="str">
        <f>IF(AND(AD$10&gt;=$D280,AD$11&lt;=$E280),VLOOKUP($F280,$K$2:AR$8,AD$1,"Falsch"),"")</f>
        <v/>
      </c>
    </row>
    <row r="281" spans="9:30" x14ac:dyDescent="0.25">
      <c r="I281" s="21">
        <f t="shared" si="39"/>
        <v>0</v>
      </c>
      <c r="K281" s="25">
        <f t="shared" si="38"/>
        <v>0</v>
      </c>
      <c r="L281" s="16" t="str">
        <f>IF(AND(L$10&gt;=$D281,L$11&lt;=$E281),VLOOKUP($F281,$K$2:Z$8,L$1,"Falsch"),"")</f>
        <v/>
      </c>
      <c r="M281" s="16" t="str">
        <f>IF(AND(M$10&gt;=$D281,M$11&lt;=$E281),VLOOKUP($F281,$K$2:AA$8,M$1,"Falsch"),"")</f>
        <v/>
      </c>
      <c r="N281" s="16" t="str">
        <f>IF(AND(N$10&gt;=$D281,N$11&lt;=$E281),VLOOKUP($F281,$K$2:AB$8,N$1,"Falsch"),"")</f>
        <v/>
      </c>
      <c r="O281" s="16" t="str">
        <f>IF(AND(O$10&gt;=$D281,O$11&lt;=$E281),VLOOKUP($F281,$K$2:AC$8,O$1,"Falsch"),"")</f>
        <v/>
      </c>
      <c r="P281" s="16" t="str">
        <f>IF(AND(P$10&gt;=$D281,P$11&lt;=$E281),VLOOKUP($F281,$K$2:AD$8,P$1,"Falsch"),"")</f>
        <v/>
      </c>
      <c r="Q281" s="16" t="str">
        <f>IF(AND(Q$10&gt;=$D281,Q$11&lt;=$E281),VLOOKUP($F281,$K$2:AE$8,Q$1,"Falsch"),"")</f>
        <v/>
      </c>
      <c r="R281" s="16" t="str">
        <f>IF(AND(R$10&gt;=$D281,R$11&lt;=$E281),VLOOKUP($F281,$K$2:AF$8,R$1,"Falsch"),"")</f>
        <v/>
      </c>
      <c r="S281" s="16" t="str">
        <f>IF(AND(S$10&gt;=$D281,S$11&lt;=$E281),VLOOKUP($F281,$K$2:AG$8,S$1,"Falsch"),"")</f>
        <v/>
      </c>
      <c r="T281" s="16" t="str">
        <f>IF(AND(T$10&gt;=$D281,T$11&lt;=$E281),VLOOKUP($F281,$K$2:AH$8,T$1,"Falsch"),"")</f>
        <v/>
      </c>
      <c r="U281" s="16" t="str">
        <f>IF(AND(U$10&gt;=$D281,U$11&lt;=$E281),VLOOKUP($F281,$K$2:AI$8,U$1,"Falsch"),"")</f>
        <v/>
      </c>
      <c r="V281" s="16" t="str">
        <f>IF(AND(V$10&gt;=$D281,V$11&lt;=$E281),VLOOKUP($F281,$K$2:AJ$8,V$1,"Falsch"),"")</f>
        <v/>
      </c>
      <c r="W281" s="16" t="str">
        <f>IF(AND(W$10&gt;=$D281,W$11&lt;=$E281),VLOOKUP($F281,$K$2:AK$8,W$1,"Falsch"),"")</f>
        <v/>
      </c>
      <c r="X281" s="16" t="str">
        <f>IF(AND(X$10&gt;=$D281,X$11&lt;=$E281),VLOOKUP($F281,$K$2:AL$8,X$1,"Falsch"),"")</f>
        <v/>
      </c>
      <c r="Y281" s="16" t="str">
        <f>IF(AND(Y$10&gt;=$D281,Y$11&lt;=$E281),VLOOKUP($F281,$K$2:AM$8,Y$1,"Falsch"),"")</f>
        <v/>
      </c>
      <c r="Z281" s="16" t="str">
        <f>IF(AND(Z$10&gt;=$D281,Z$11&lt;=$E281),VLOOKUP($F281,$K$2:AN$8,Z$1,"Falsch"),"")</f>
        <v/>
      </c>
      <c r="AA281" s="16" t="str">
        <f>IF(AND(AA$10&gt;=$D281,AA$11&lt;=$E281),VLOOKUP($F281,$K$2:AO$8,AA$1,"Falsch"),"")</f>
        <v/>
      </c>
      <c r="AB281" s="16" t="str">
        <f>IF(AND(AB$10&gt;=$D281,AB$11&lt;=$E281),VLOOKUP($F281,$K$2:AP$8,AB$1,"Falsch"),"")</f>
        <v/>
      </c>
      <c r="AC281" s="16" t="str">
        <f>IF(AND(AC$10&gt;=$D281,AC$11&lt;=$E281),VLOOKUP($F281,$K$2:AQ$8,AC$1,"Falsch"),"")</f>
        <v/>
      </c>
      <c r="AD281" s="16" t="str">
        <f>IF(AND(AD$10&gt;=$D281,AD$11&lt;=$E281),VLOOKUP($F281,$K$2:AR$8,AD$1,"Falsch"),"")</f>
        <v/>
      </c>
    </row>
    <row r="282" spans="9:30" x14ac:dyDescent="0.25">
      <c r="I282" s="21">
        <f t="shared" si="39"/>
        <v>0</v>
      </c>
      <c r="K282" s="25">
        <f t="shared" si="38"/>
        <v>0</v>
      </c>
      <c r="L282" s="16" t="str">
        <f>IF(AND(L$10&gt;=$D282,L$11&lt;=$E282),VLOOKUP($F282,$K$2:Z$8,L$1,"Falsch"),"")</f>
        <v/>
      </c>
      <c r="M282" s="16" t="str">
        <f>IF(AND(M$10&gt;=$D282,M$11&lt;=$E282),VLOOKUP($F282,$K$2:AA$8,M$1,"Falsch"),"")</f>
        <v/>
      </c>
      <c r="N282" s="16" t="str">
        <f>IF(AND(N$10&gt;=$D282,N$11&lt;=$E282),VLOOKUP($F282,$K$2:AB$8,N$1,"Falsch"),"")</f>
        <v/>
      </c>
      <c r="O282" s="16" t="str">
        <f>IF(AND(O$10&gt;=$D282,O$11&lt;=$E282),VLOOKUP($F282,$K$2:AC$8,O$1,"Falsch"),"")</f>
        <v/>
      </c>
      <c r="P282" s="16" t="str">
        <f>IF(AND(P$10&gt;=$D282,P$11&lt;=$E282),VLOOKUP($F282,$K$2:AD$8,P$1,"Falsch"),"")</f>
        <v/>
      </c>
      <c r="Q282" s="16" t="str">
        <f>IF(AND(Q$10&gt;=$D282,Q$11&lt;=$E282),VLOOKUP($F282,$K$2:AE$8,Q$1,"Falsch"),"")</f>
        <v/>
      </c>
      <c r="R282" s="16" t="str">
        <f>IF(AND(R$10&gt;=$D282,R$11&lt;=$E282),VLOOKUP($F282,$K$2:AF$8,R$1,"Falsch"),"")</f>
        <v/>
      </c>
      <c r="S282" s="16" t="str">
        <f>IF(AND(S$10&gt;=$D282,S$11&lt;=$E282),VLOOKUP($F282,$K$2:AG$8,S$1,"Falsch"),"")</f>
        <v/>
      </c>
      <c r="T282" s="16" t="str">
        <f>IF(AND(T$10&gt;=$D282,T$11&lt;=$E282),VLOOKUP($F282,$K$2:AH$8,T$1,"Falsch"),"")</f>
        <v/>
      </c>
      <c r="U282" s="16" t="str">
        <f>IF(AND(U$10&gt;=$D282,U$11&lt;=$E282),VLOOKUP($F282,$K$2:AI$8,U$1,"Falsch"),"")</f>
        <v/>
      </c>
      <c r="V282" s="16" t="str">
        <f>IF(AND(V$10&gt;=$D282,V$11&lt;=$E282),VLOOKUP($F282,$K$2:AJ$8,V$1,"Falsch"),"")</f>
        <v/>
      </c>
      <c r="W282" s="16" t="str">
        <f>IF(AND(W$10&gt;=$D282,W$11&lt;=$E282),VLOOKUP($F282,$K$2:AK$8,W$1,"Falsch"),"")</f>
        <v/>
      </c>
      <c r="X282" s="16" t="str">
        <f>IF(AND(X$10&gt;=$D282,X$11&lt;=$E282),VLOOKUP($F282,$K$2:AL$8,X$1,"Falsch"),"")</f>
        <v/>
      </c>
      <c r="Y282" s="16" t="str">
        <f>IF(AND(Y$10&gt;=$D282,Y$11&lt;=$E282),VLOOKUP($F282,$K$2:AM$8,Y$1,"Falsch"),"")</f>
        <v/>
      </c>
      <c r="Z282" s="16" t="str">
        <f>IF(AND(Z$10&gt;=$D282,Z$11&lt;=$E282),VLOOKUP($F282,$K$2:AN$8,Z$1,"Falsch"),"")</f>
        <v/>
      </c>
      <c r="AA282" s="16" t="str">
        <f>IF(AND(AA$10&gt;=$D282,AA$11&lt;=$E282),VLOOKUP($F282,$K$2:AO$8,AA$1,"Falsch"),"")</f>
        <v/>
      </c>
      <c r="AB282" s="16" t="str">
        <f>IF(AND(AB$10&gt;=$D282,AB$11&lt;=$E282),VLOOKUP($F282,$K$2:AP$8,AB$1,"Falsch"),"")</f>
        <v/>
      </c>
      <c r="AC282" s="16" t="str">
        <f>IF(AND(AC$10&gt;=$D282,AC$11&lt;=$E282),VLOOKUP($F282,$K$2:AQ$8,AC$1,"Falsch"),"")</f>
        <v/>
      </c>
      <c r="AD282" s="16" t="str">
        <f>IF(AND(AD$10&gt;=$D282,AD$11&lt;=$E282),VLOOKUP($F282,$K$2:AR$8,AD$1,"Falsch"),"")</f>
        <v/>
      </c>
    </row>
    <row r="283" spans="9:30" x14ac:dyDescent="0.25">
      <c r="I283" s="21">
        <f t="shared" si="39"/>
        <v>0</v>
      </c>
      <c r="K283" s="25">
        <f t="shared" si="38"/>
        <v>0</v>
      </c>
      <c r="L283" s="16" t="str">
        <f>IF(AND(L$10&gt;=$D283,L$11&lt;=$E283),VLOOKUP($F283,$K$2:Z$8,L$1,"Falsch"),"")</f>
        <v/>
      </c>
      <c r="M283" s="16" t="str">
        <f>IF(AND(M$10&gt;=$D283,M$11&lt;=$E283),VLOOKUP($F283,$K$2:AA$8,M$1,"Falsch"),"")</f>
        <v/>
      </c>
      <c r="N283" s="16" t="str">
        <f>IF(AND(N$10&gt;=$D283,N$11&lt;=$E283),VLOOKUP($F283,$K$2:AB$8,N$1,"Falsch"),"")</f>
        <v/>
      </c>
      <c r="O283" s="16" t="str">
        <f>IF(AND(O$10&gt;=$D283,O$11&lt;=$E283),VLOOKUP($F283,$K$2:AC$8,O$1,"Falsch"),"")</f>
        <v/>
      </c>
      <c r="P283" s="16" t="str">
        <f>IF(AND(P$10&gt;=$D283,P$11&lt;=$E283),VLOOKUP($F283,$K$2:AD$8,P$1,"Falsch"),"")</f>
        <v/>
      </c>
      <c r="Q283" s="16" t="str">
        <f>IF(AND(Q$10&gt;=$D283,Q$11&lt;=$E283),VLOOKUP($F283,$K$2:AE$8,Q$1,"Falsch"),"")</f>
        <v/>
      </c>
      <c r="R283" s="16" t="str">
        <f>IF(AND(R$10&gt;=$D283,R$11&lt;=$E283),VLOOKUP($F283,$K$2:AF$8,R$1,"Falsch"),"")</f>
        <v/>
      </c>
      <c r="S283" s="16" t="str">
        <f>IF(AND(S$10&gt;=$D283,S$11&lt;=$E283),VLOOKUP($F283,$K$2:AG$8,S$1,"Falsch"),"")</f>
        <v/>
      </c>
      <c r="T283" s="16" t="str">
        <f>IF(AND(T$10&gt;=$D283,T$11&lt;=$E283),VLOOKUP($F283,$K$2:AH$8,T$1,"Falsch"),"")</f>
        <v/>
      </c>
      <c r="U283" s="16" t="str">
        <f>IF(AND(U$10&gt;=$D283,U$11&lt;=$E283),VLOOKUP($F283,$K$2:AI$8,U$1,"Falsch"),"")</f>
        <v/>
      </c>
      <c r="V283" s="16" t="str">
        <f>IF(AND(V$10&gt;=$D283,V$11&lt;=$E283),VLOOKUP($F283,$K$2:AJ$8,V$1,"Falsch"),"")</f>
        <v/>
      </c>
      <c r="W283" s="16" t="str">
        <f>IF(AND(W$10&gt;=$D283,W$11&lt;=$E283),VLOOKUP($F283,$K$2:AK$8,W$1,"Falsch"),"")</f>
        <v/>
      </c>
      <c r="X283" s="16" t="str">
        <f>IF(AND(X$10&gt;=$D283,X$11&lt;=$E283),VLOOKUP($F283,$K$2:AL$8,X$1,"Falsch"),"")</f>
        <v/>
      </c>
      <c r="Y283" s="16" t="str">
        <f>IF(AND(Y$10&gt;=$D283,Y$11&lt;=$E283),VLOOKUP($F283,$K$2:AM$8,Y$1,"Falsch"),"")</f>
        <v/>
      </c>
      <c r="Z283" s="16" t="str">
        <f>IF(AND(Z$10&gt;=$D283,Z$11&lt;=$E283),VLOOKUP($F283,$K$2:AN$8,Z$1,"Falsch"),"")</f>
        <v/>
      </c>
      <c r="AA283" s="16" t="str">
        <f>IF(AND(AA$10&gt;=$D283,AA$11&lt;=$E283),VLOOKUP($F283,$K$2:AO$8,AA$1,"Falsch"),"")</f>
        <v/>
      </c>
      <c r="AB283" s="16" t="str">
        <f>IF(AND(AB$10&gt;=$D283,AB$11&lt;=$E283),VLOOKUP($F283,$K$2:AP$8,AB$1,"Falsch"),"")</f>
        <v/>
      </c>
      <c r="AC283" s="16" t="str">
        <f>IF(AND(AC$10&gt;=$D283,AC$11&lt;=$E283),VLOOKUP($F283,$K$2:AQ$8,AC$1,"Falsch"),"")</f>
        <v/>
      </c>
      <c r="AD283" s="16" t="str">
        <f>IF(AND(AD$10&gt;=$D283,AD$11&lt;=$E283),VLOOKUP($F283,$K$2:AR$8,AD$1,"Falsch"),"")</f>
        <v/>
      </c>
    </row>
    <row r="284" spans="9:30" x14ac:dyDescent="0.25">
      <c r="I284" s="21">
        <f t="shared" si="39"/>
        <v>0</v>
      </c>
      <c r="K284" s="25">
        <f t="shared" si="38"/>
        <v>0</v>
      </c>
      <c r="L284" s="16" t="str">
        <f>IF(AND(L$10&gt;=$D284,L$11&lt;=$E284),VLOOKUP($F284,$K$2:Z$8,L$1,"Falsch"),"")</f>
        <v/>
      </c>
      <c r="M284" s="16" t="str">
        <f>IF(AND(M$10&gt;=$D284,M$11&lt;=$E284),VLOOKUP($F284,$K$2:AA$8,M$1,"Falsch"),"")</f>
        <v/>
      </c>
      <c r="N284" s="16" t="str">
        <f>IF(AND(N$10&gt;=$D284,N$11&lt;=$E284),VLOOKUP($F284,$K$2:AB$8,N$1,"Falsch"),"")</f>
        <v/>
      </c>
      <c r="O284" s="16" t="str">
        <f>IF(AND(O$10&gt;=$D284,O$11&lt;=$E284),VLOOKUP($F284,$K$2:AC$8,O$1,"Falsch"),"")</f>
        <v/>
      </c>
      <c r="P284" s="16" t="str">
        <f>IF(AND(P$10&gt;=$D284,P$11&lt;=$E284),VLOOKUP($F284,$K$2:AD$8,P$1,"Falsch"),"")</f>
        <v/>
      </c>
      <c r="Q284" s="16" t="str">
        <f>IF(AND(Q$10&gt;=$D284,Q$11&lt;=$E284),VLOOKUP($F284,$K$2:AE$8,Q$1,"Falsch"),"")</f>
        <v/>
      </c>
      <c r="R284" s="16" t="str">
        <f>IF(AND(R$10&gt;=$D284,R$11&lt;=$E284),VLOOKUP($F284,$K$2:AF$8,R$1,"Falsch"),"")</f>
        <v/>
      </c>
      <c r="S284" s="16" t="str">
        <f>IF(AND(S$10&gt;=$D284,S$11&lt;=$E284),VLOOKUP($F284,$K$2:AG$8,S$1,"Falsch"),"")</f>
        <v/>
      </c>
      <c r="T284" s="16" t="str">
        <f>IF(AND(T$10&gt;=$D284,T$11&lt;=$E284),VLOOKUP($F284,$K$2:AH$8,T$1,"Falsch"),"")</f>
        <v/>
      </c>
      <c r="U284" s="16" t="str">
        <f>IF(AND(U$10&gt;=$D284,U$11&lt;=$E284),VLOOKUP($F284,$K$2:AI$8,U$1,"Falsch"),"")</f>
        <v/>
      </c>
      <c r="V284" s="16" t="str">
        <f>IF(AND(V$10&gt;=$D284,V$11&lt;=$E284),VLOOKUP($F284,$K$2:AJ$8,V$1,"Falsch"),"")</f>
        <v/>
      </c>
      <c r="W284" s="16" t="str">
        <f>IF(AND(W$10&gt;=$D284,W$11&lt;=$E284),VLOOKUP($F284,$K$2:AK$8,W$1,"Falsch"),"")</f>
        <v/>
      </c>
      <c r="X284" s="16" t="str">
        <f>IF(AND(X$10&gt;=$D284,X$11&lt;=$E284),VLOOKUP($F284,$K$2:AL$8,X$1,"Falsch"),"")</f>
        <v/>
      </c>
      <c r="Y284" s="16" t="str">
        <f>IF(AND(Y$10&gt;=$D284,Y$11&lt;=$E284),VLOOKUP($F284,$K$2:AM$8,Y$1,"Falsch"),"")</f>
        <v/>
      </c>
      <c r="Z284" s="16" t="str">
        <f>IF(AND(Z$10&gt;=$D284,Z$11&lt;=$E284),VLOOKUP($F284,$K$2:AN$8,Z$1,"Falsch"),"")</f>
        <v/>
      </c>
      <c r="AA284" s="16" t="str">
        <f>IF(AND(AA$10&gt;=$D284,AA$11&lt;=$E284),VLOOKUP($F284,$K$2:AO$8,AA$1,"Falsch"),"")</f>
        <v/>
      </c>
      <c r="AB284" s="16" t="str">
        <f>IF(AND(AB$10&gt;=$D284,AB$11&lt;=$E284),VLOOKUP($F284,$K$2:AP$8,AB$1,"Falsch"),"")</f>
        <v/>
      </c>
      <c r="AC284" s="16" t="str">
        <f>IF(AND(AC$10&gt;=$D284,AC$11&lt;=$E284),VLOOKUP($F284,$K$2:AQ$8,AC$1,"Falsch"),"")</f>
        <v/>
      </c>
      <c r="AD284" s="16" t="str">
        <f>IF(AND(AD$10&gt;=$D284,AD$11&lt;=$E284),VLOOKUP($F284,$K$2:AR$8,AD$1,"Falsch"),"")</f>
        <v/>
      </c>
    </row>
    <row r="285" spans="9:30" x14ac:dyDescent="0.25">
      <c r="I285" s="21">
        <f t="shared" si="39"/>
        <v>0</v>
      </c>
      <c r="K285" s="25">
        <f t="shared" si="38"/>
        <v>0</v>
      </c>
      <c r="L285" s="16" t="str">
        <f>IF(AND(L$10&gt;=$D285,L$11&lt;=$E285),VLOOKUP($F285,$K$2:Z$8,L$1,"Falsch"),"")</f>
        <v/>
      </c>
      <c r="M285" s="16" t="str">
        <f>IF(AND(M$10&gt;=$D285,M$11&lt;=$E285),VLOOKUP($F285,$K$2:AA$8,M$1,"Falsch"),"")</f>
        <v/>
      </c>
      <c r="N285" s="16" t="str">
        <f>IF(AND(N$10&gt;=$D285,N$11&lt;=$E285),VLOOKUP($F285,$K$2:AB$8,N$1,"Falsch"),"")</f>
        <v/>
      </c>
      <c r="O285" s="16" t="str">
        <f>IF(AND(O$10&gt;=$D285,O$11&lt;=$E285),VLOOKUP($F285,$K$2:AC$8,O$1,"Falsch"),"")</f>
        <v/>
      </c>
      <c r="P285" s="16" t="str">
        <f>IF(AND(P$10&gt;=$D285,P$11&lt;=$E285),VLOOKUP($F285,$K$2:AD$8,P$1,"Falsch"),"")</f>
        <v/>
      </c>
      <c r="Q285" s="16" t="str">
        <f>IF(AND(Q$10&gt;=$D285,Q$11&lt;=$E285),VLOOKUP($F285,$K$2:AE$8,Q$1,"Falsch"),"")</f>
        <v/>
      </c>
      <c r="R285" s="16" t="str">
        <f>IF(AND(R$10&gt;=$D285,R$11&lt;=$E285),VLOOKUP($F285,$K$2:AF$8,R$1,"Falsch"),"")</f>
        <v/>
      </c>
      <c r="S285" s="16" t="str">
        <f>IF(AND(S$10&gt;=$D285,S$11&lt;=$E285),VLOOKUP($F285,$K$2:AG$8,S$1,"Falsch"),"")</f>
        <v/>
      </c>
      <c r="T285" s="16" t="str">
        <f>IF(AND(T$10&gt;=$D285,T$11&lt;=$E285),VLOOKUP($F285,$K$2:AH$8,T$1,"Falsch"),"")</f>
        <v/>
      </c>
      <c r="U285" s="16" t="str">
        <f>IF(AND(U$10&gt;=$D285,U$11&lt;=$E285),VLOOKUP($F285,$K$2:AI$8,U$1,"Falsch"),"")</f>
        <v/>
      </c>
      <c r="V285" s="16" t="str">
        <f>IF(AND(V$10&gt;=$D285,V$11&lt;=$E285),VLOOKUP($F285,$K$2:AJ$8,V$1,"Falsch"),"")</f>
        <v/>
      </c>
      <c r="W285" s="16" t="str">
        <f>IF(AND(W$10&gt;=$D285,W$11&lt;=$E285),VLOOKUP($F285,$K$2:AK$8,W$1,"Falsch"),"")</f>
        <v/>
      </c>
      <c r="X285" s="16" t="str">
        <f>IF(AND(X$10&gt;=$D285,X$11&lt;=$E285),VLOOKUP($F285,$K$2:AL$8,X$1,"Falsch"),"")</f>
        <v/>
      </c>
      <c r="Y285" s="16" t="str">
        <f>IF(AND(Y$10&gt;=$D285,Y$11&lt;=$E285),VLOOKUP($F285,$K$2:AM$8,Y$1,"Falsch"),"")</f>
        <v/>
      </c>
      <c r="Z285" s="16" t="str">
        <f>IF(AND(Z$10&gt;=$D285,Z$11&lt;=$E285),VLOOKUP($F285,$K$2:AN$8,Z$1,"Falsch"),"")</f>
        <v/>
      </c>
      <c r="AA285" s="16" t="str">
        <f>IF(AND(AA$10&gt;=$D285,AA$11&lt;=$E285),VLOOKUP($F285,$K$2:AO$8,AA$1,"Falsch"),"")</f>
        <v/>
      </c>
      <c r="AB285" s="16" t="str">
        <f>IF(AND(AB$10&gt;=$D285,AB$11&lt;=$E285),VLOOKUP($F285,$K$2:AP$8,AB$1,"Falsch"),"")</f>
        <v/>
      </c>
      <c r="AC285" s="16" t="str">
        <f>IF(AND(AC$10&gt;=$D285,AC$11&lt;=$E285),VLOOKUP($F285,$K$2:AQ$8,AC$1,"Falsch"),"")</f>
        <v/>
      </c>
      <c r="AD285" s="16" t="str">
        <f>IF(AND(AD$10&gt;=$D285,AD$11&lt;=$E285),VLOOKUP($F285,$K$2:AR$8,AD$1,"Falsch"),"")</f>
        <v/>
      </c>
    </row>
    <row r="286" spans="9:30" x14ac:dyDescent="0.25">
      <c r="I286" s="21">
        <f t="shared" si="39"/>
        <v>0</v>
      </c>
      <c r="K286" s="25">
        <f t="shared" si="38"/>
        <v>0</v>
      </c>
      <c r="L286" s="16" t="str">
        <f>IF(AND(L$10&gt;=$D286,L$11&lt;=$E286),VLOOKUP($F286,$K$2:Z$8,L$1,"Falsch"),"")</f>
        <v/>
      </c>
      <c r="M286" s="16" t="str">
        <f>IF(AND(M$10&gt;=$D286,M$11&lt;=$E286),VLOOKUP($F286,$K$2:AA$8,M$1,"Falsch"),"")</f>
        <v/>
      </c>
      <c r="N286" s="16" t="str">
        <f>IF(AND(N$10&gt;=$D286,N$11&lt;=$E286),VLOOKUP($F286,$K$2:AB$8,N$1,"Falsch"),"")</f>
        <v/>
      </c>
      <c r="O286" s="16" t="str">
        <f>IF(AND(O$10&gt;=$D286,O$11&lt;=$E286),VLOOKUP($F286,$K$2:AC$8,O$1,"Falsch"),"")</f>
        <v/>
      </c>
      <c r="P286" s="16" t="str">
        <f>IF(AND(P$10&gt;=$D286,P$11&lt;=$E286),VLOOKUP($F286,$K$2:AD$8,P$1,"Falsch"),"")</f>
        <v/>
      </c>
      <c r="Q286" s="16" t="str">
        <f>IF(AND(Q$10&gt;=$D286,Q$11&lt;=$E286),VLOOKUP($F286,$K$2:AE$8,Q$1,"Falsch"),"")</f>
        <v/>
      </c>
      <c r="R286" s="16" t="str">
        <f>IF(AND(R$10&gt;=$D286,R$11&lt;=$E286),VLOOKUP($F286,$K$2:AF$8,R$1,"Falsch"),"")</f>
        <v/>
      </c>
      <c r="S286" s="16" t="str">
        <f>IF(AND(S$10&gt;=$D286,S$11&lt;=$E286),VLOOKUP($F286,$K$2:AG$8,S$1,"Falsch"),"")</f>
        <v/>
      </c>
      <c r="T286" s="16" t="str">
        <f>IF(AND(T$10&gt;=$D286,T$11&lt;=$E286),VLOOKUP($F286,$K$2:AH$8,T$1,"Falsch"),"")</f>
        <v/>
      </c>
      <c r="U286" s="16" t="str">
        <f>IF(AND(U$10&gt;=$D286,U$11&lt;=$E286),VLOOKUP($F286,$K$2:AI$8,U$1,"Falsch"),"")</f>
        <v/>
      </c>
      <c r="V286" s="16" t="str">
        <f>IF(AND(V$10&gt;=$D286,V$11&lt;=$E286),VLOOKUP($F286,$K$2:AJ$8,V$1,"Falsch"),"")</f>
        <v/>
      </c>
      <c r="W286" s="16" t="str">
        <f>IF(AND(W$10&gt;=$D286,W$11&lt;=$E286),VLOOKUP($F286,$K$2:AK$8,W$1,"Falsch"),"")</f>
        <v/>
      </c>
      <c r="X286" s="16" t="str">
        <f>IF(AND(X$10&gt;=$D286,X$11&lt;=$E286),VLOOKUP($F286,$K$2:AL$8,X$1,"Falsch"),"")</f>
        <v/>
      </c>
      <c r="Y286" s="16" t="str">
        <f>IF(AND(Y$10&gt;=$D286,Y$11&lt;=$E286),VLOOKUP($F286,$K$2:AM$8,Y$1,"Falsch"),"")</f>
        <v/>
      </c>
      <c r="Z286" s="16" t="str">
        <f>IF(AND(Z$10&gt;=$D286,Z$11&lt;=$E286),VLOOKUP($F286,$K$2:AN$8,Z$1,"Falsch"),"")</f>
        <v/>
      </c>
      <c r="AA286" s="16" t="str">
        <f>IF(AND(AA$10&gt;=$D286,AA$11&lt;=$E286),VLOOKUP($F286,$K$2:AO$8,AA$1,"Falsch"),"")</f>
        <v/>
      </c>
      <c r="AB286" s="16" t="str">
        <f>IF(AND(AB$10&gt;=$D286,AB$11&lt;=$E286),VLOOKUP($F286,$K$2:AP$8,AB$1,"Falsch"),"")</f>
        <v/>
      </c>
      <c r="AC286" s="16" t="str">
        <f>IF(AND(AC$10&gt;=$D286,AC$11&lt;=$E286),VLOOKUP($F286,$K$2:AQ$8,AC$1,"Falsch"),"")</f>
        <v/>
      </c>
      <c r="AD286" s="16" t="str">
        <f>IF(AND(AD$10&gt;=$D286,AD$11&lt;=$E286),VLOOKUP($F286,$K$2:AR$8,AD$1,"Falsch"),"")</f>
        <v/>
      </c>
    </row>
    <row r="287" spans="9:30" x14ac:dyDescent="0.25">
      <c r="I287" s="21">
        <f t="shared" si="39"/>
        <v>0</v>
      </c>
      <c r="K287" s="25">
        <f t="shared" si="38"/>
        <v>0</v>
      </c>
      <c r="L287" s="16" t="str">
        <f>IF(AND(L$10&gt;=$D287,L$11&lt;=$E287),VLOOKUP($F287,$K$2:Z$8,L$1,"Falsch"),"")</f>
        <v/>
      </c>
      <c r="M287" s="16" t="str">
        <f>IF(AND(M$10&gt;=$D287,M$11&lt;=$E287),VLOOKUP($F287,$K$2:AA$8,M$1,"Falsch"),"")</f>
        <v/>
      </c>
      <c r="N287" s="16" t="str">
        <f>IF(AND(N$10&gt;=$D287,N$11&lt;=$E287),VLOOKUP($F287,$K$2:AB$8,N$1,"Falsch"),"")</f>
        <v/>
      </c>
      <c r="O287" s="16" t="str">
        <f>IF(AND(O$10&gt;=$D287,O$11&lt;=$E287),VLOOKUP($F287,$K$2:AC$8,O$1,"Falsch"),"")</f>
        <v/>
      </c>
      <c r="P287" s="16" t="str">
        <f>IF(AND(P$10&gt;=$D287,P$11&lt;=$E287),VLOOKUP($F287,$K$2:AD$8,P$1,"Falsch"),"")</f>
        <v/>
      </c>
      <c r="Q287" s="16" t="str">
        <f>IF(AND(Q$10&gt;=$D287,Q$11&lt;=$E287),VLOOKUP($F287,$K$2:AE$8,Q$1,"Falsch"),"")</f>
        <v/>
      </c>
      <c r="R287" s="16" t="str">
        <f>IF(AND(R$10&gt;=$D287,R$11&lt;=$E287),VLOOKUP($F287,$K$2:AF$8,R$1,"Falsch"),"")</f>
        <v/>
      </c>
      <c r="S287" s="16" t="str">
        <f>IF(AND(S$10&gt;=$D287,S$11&lt;=$E287),VLOOKUP($F287,$K$2:AG$8,S$1,"Falsch"),"")</f>
        <v/>
      </c>
      <c r="T287" s="16" t="str">
        <f>IF(AND(T$10&gt;=$D287,T$11&lt;=$E287),VLOOKUP($F287,$K$2:AH$8,T$1,"Falsch"),"")</f>
        <v/>
      </c>
      <c r="U287" s="16" t="str">
        <f>IF(AND(U$10&gt;=$D287,U$11&lt;=$E287),VLOOKUP($F287,$K$2:AI$8,U$1,"Falsch"),"")</f>
        <v/>
      </c>
      <c r="V287" s="16" t="str">
        <f>IF(AND(V$10&gt;=$D287,V$11&lt;=$E287),VLOOKUP($F287,$K$2:AJ$8,V$1,"Falsch"),"")</f>
        <v/>
      </c>
      <c r="W287" s="16" t="str">
        <f>IF(AND(W$10&gt;=$D287,W$11&lt;=$E287),VLOOKUP($F287,$K$2:AK$8,W$1,"Falsch"),"")</f>
        <v/>
      </c>
      <c r="X287" s="16" t="str">
        <f>IF(AND(X$10&gt;=$D287,X$11&lt;=$E287),VLOOKUP($F287,$K$2:AL$8,X$1,"Falsch"),"")</f>
        <v/>
      </c>
      <c r="Y287" s="16" t="str">
        <f>IF(AND(Y$10&gt;=$D287,Y$11&lt;=$E287),VLOOKUP($F287,$K$2:AM$8,Y$1,"Falsch"),"")</f>
        <v/>
      </c>
      <c r="Z287" s="16" t="str">
        <f>IF(AND(Z$10&gt;=$D287,Z$11&lt;=$E287),VLOOKUP($F287,$K$2:AN$8,Z$1,"Falsch"),"")</f>
        <v/>
      </c>
      <c r="AA287" s="16" t="str">
        <f>IF(AND(AA$10&gt;=$D287,AA$11&lt;=$E287),VLOOKUP($F287,$K$2:AO$8,AA$1,"Falsch"),"")</f>
        <v/>
      </c>
      <c r="AB287" s="16" t="str">
        <f>IF(AND(AB$10&gt;=$D287,AB$11&lt;=$E287),VLOOKUP($F287,$K$2:AP$8,AB$1,"Falsch"),"")</f>
        <v/>
      </c>
      <c r="AC287" s="16" t="str">
        <f>IF(AND(AC$10&gt;=$D287,AC$11&lt;=$E287),VLOOKUP($F287,$K$2:AQ$8,AC$1,"Falsch"),"")</f>
        <v/>
      </c>
      <c r="AD287" s="16" t="str">
        <f>IF(AND(AD$10&gt;=$D287,AD$11&lt;=$E287),VLOOKUP($F287,$K$2:AR$8,AD$1,"Falsch"),"")</f>
        <v/>
      </c>
    </row>
    <row r="288" spans="9:30" x14ac:dyDescent="0.25">
      <c r="I288" s="21">
        <f t="shared" si="39"/>
        <v>0</v>
      </c>
      <c r="K288" s="25">
        <f t="shared" si="38"/>
        <v>0</v>
      </c>
      <c r="L288" s="16" t="str">
        <f>IF(AND(L$10&gt;=$D288,L$11&lt;=$E288),VLOOKUP($F288,$K$2:Z$8,L$1,"Falsch"),"")</f>
        <v/>
      </c>
      <c r="M288" s="16" t="str">
        <f>IF(AND(M$10&gt;=$D288,M$11&lt;=$E288),VLOOKUP($F288,$K$2:AA$8,M$1,"Falsch"),"")</f>
        <v/>
      </c>
      <c r="N288" s="16" t="str">
        <f>IF(AND(N$10&gt;=$D288,N$11&lt;=$E288),VLOOKUP($F288,$K$2:AB$8,N$1,"Falsch"),"")</f>
        <v/>
      </c>
      <c r="O288" s="16" t="str">
        <f>IF(AND(O$10&gt;=$D288,O$11&lt;=$E288),VLOOKUP($F288,$K$2:AC$8,O$1,"Falsch"),"")</f>
        <v/>
      </c>
      <c r="P288" s="16" t="str">
        <f>IF(AND(P$10&gt;=$D288,P$11&lt;=$E288),VLOOKUP($F288,$K$2:AD$8,P$1,"Falsch"),"")</f>
        <v/>
      </c>
      <c r="Q288" s="16" t="str">
        <f>IF(AND(Q$10&gt;=$D288,Q$11&lt;=$E288),VLOOKUP($F288,$K$2:AE$8,Q$1,"Falsch"),"")</f>
        <v/>
      </c>
      <c r="R288" s="16" t="str">
        <f>IF(AND(R$10&gt;=$D288,R$11&lt;=$E288),VLOOKUP($F288,$K$2:AF$8,R$1,"Falsch"),"")</f>
        <v/>
      </c>
      <c r="S288" s="16" t="str">
        <f>IF(AND(S$10&gt;=$D288,S$11&lt;=$E288),VLOOKUP($F288,$K$2:AG$8,S$1,"Falsch"),"")</f>
        <v/>
      </c>
      <c r="T288" s="16" t="str">
        <f>IF(AND(T$10&gt;=$D288,T$11&lt;=$E288),VLOOKUP($F288,$K$2:AH$8,T$1,"Falsch"),"")</f>
        <v/>
      </c>
      <c r="U288" s="16" t="str">
        <f>IF(AND(U$10&gt;=$D288,U$11&lt;=$E288),VLOOKUP($F288,$K$2:AI$8,U$1,"Falsch"),"")</f>
        <v/>
      </c>
      <c r="V288" s="16" t="str">
        <f>IF(AND(V$10&gt;=$D288,V$11&lt;=$E288),VLOOKUP($F288,$K$2:AJ$8,V$1,"Falsch"),"")</f>
        <v/>
      </c>
      <c r="W288" s="16" t="str">
        <f>IF(AND(W$10&gt;=$D288,W$11&lt;=$E288),VLOOKUP($F288,$K$2:AK$8,W$1,"Falsch"),"")</f>
        <v/>
      </c>
      <c r="X288" s="16" t="str">
        <f>IF(AND(X$10&gt;=$D288,X$11&lt;=$E288),VLOOKUP($F288,$K$2:AL$8,X$1,"Falsch"),"")</f>
        <v/>
      </c>
      <c r="Y288" s="16" t="str">
        <f>IF(AND(Y$10&gt;=$D288,Y$11&lt;=$E288),VLOOKUP($F288,$K$2:AM$8,Y$1,"Falsch"),"")</f>
        <v/>
      </c>
      <c r="Z288" s="16" t="str">
        <f>IF(AND(Z$10&gt;=$D288,Z$11&lt;=$E288),VLOOKUP($F288,$K$2:AN$8,Z$1,"Falsch"),"")</f>
        <v/>
      </c>
      <c r="AA288" s="16" t="str">
        <f>IF(AND(AA$10&gt;=$D288,AA$11&lt;=$E288),VLOOKUP($F288,$K$2:AO$8,AA$1,"Falsch"),"")</f>
        <v/>
      </c>
      <c r="AB288" s="16" t="str">
        <f>IF(AND(AB$10&gt;=$D288,AB$11&lt;=$E288),VLOOKUP($F288,$K$2:AP$8,AB$1,"Falsch"),"")</f>
        <v/>
      </c>
      <c r="AC288" s="16" t="str">
        <f>IF(AND(AC$10&gt;=$D288,AC$11&lt;=$E288),VLOOKUP($F288,$K$2:AQ$8,AC$1,"Falsch"),"")</f>
        <v/>
      </c>
      <c r="AD288" s="16" t="str">
        <f>IF(AND(AD$10&gt;=$D288,AD$11&lt;=$E288),VLOOKUP($F288,$K$2:AR$8,AD$1,"Falsch"),"")</f>
        <v/>
      </c>
    </row>
    <row r="289" spans="9:30" x14ac:dyDescent="0.25">
      <c r="I289" s="21">
        <f t="shared" si="39"/>
        <v>0</v>
      </c>
      <c r="K289" s="25">
        <f t="shared" si="38"/>
        <v>0</v>
      </c>
      <c r="L289" s="16" t="str">
        <f>IF(AND(L$10&gt;=$D289,L$11&lt;=$E289),VLOOKUP($F289,$K$2:Z$8,L$1,"Falsch"),"")</f>
        <v/>
      </c>
      <c r="M289" s="16" t="str">
        <f>IF(AND(M$10&gt;=$D289,M$11&lt;=$E289),VLOOKUP($F289,$K$2:AA$8,M$1,"Falsch"),"")</f>
        <v/>
      </c>
      <c r="N289" s="16" t="str">
        <f>IF(AND(N$10&gt;=$D289,N$11&lt;=$E289),VLOOKUP($F289,$K$2:AB$8,N$1,"Falsch"),"")</f>
        <v/>
      </c>
      <c r="O289" s="16" t="str">
        <f>IF(AND(O$10&gt;=$D289,O$11&lt;=$E289),VLOOKUP($F289,$K$2:AC$8,O$1,"Falsch"),"")</f>
        <v/>
      </c>
      <c r="P289" s="16" t="str">
        <f>IF(AND(P$10&gt;=$D289,P$11&lt;=$E289),VLOOKUP($F289,$K$2:AD$8,P$1,"Falsch"),"")</f>
        <v/>
      </c>
      <c r="Q289" s="16" t="str">
        <f>IF(AND(Q$10&gt;=$D289,Q$11&lt;=$E289),VLOOKUP($F289,$K$2:AE$8,Q$1,"Falsch"),"")</f>
        <v/>
      </c>
      <c r="R289" s="16" t="str">
        <f>IF(AND(R$10&gt;=$D289,R$11&lt;=$E289),VLOOKUP($F289,$K$2:AF$8,R$1,"Falsch"),"")</f>
        <v/>
      </c>
      <c r="S289" s="16" t="str">
        <f>IF(AND(S$10&gt;=$D289,S$11&lt;=$E289),VLOOKUP($F289,$K$2:AG$8,S$1,"Falsch"),"")</f>
        <v/>
      </c>
      <c r="T289" s="16" t="str">
        <f>IF(AND(T$10&gt;=$D289,T$11&lt;=$E289),VLOOKUP($F289,$K$2:AH$8,T$1,"Falsch"),"")</f>
        <v/>
      </c>
      <c r="U289" s="16" t="str">
        <f>IF(AND(U$10&gt;=$D289,U$11&lt;=$E289),VLOOKUP($F289,$K$2:AI$8,U$1,"Falsch"),"")</f>
        <v/>
      </c>
      <c r="V289" s="16" t="str">
        <f>IF(AND(V$10&gt;=$D289,V$11&lt;=$E289),VLOOKUP($F289,$K$2:AJ$8,V$1,"Falsch"),"")</f>
        <v/>
      </c>
      <c r="W289" s="16" t="str">
        <f>IF(AND(W$10&gt;=$D289,W$11&lt;=$E289),VLOOKUP($F289,$K$2:AK$8,W$1,"Falsch"),"")</f>
        <v/>
      </c>
      <c r="X289" s="16" t="str">
        <f>IF(AND(X$10&gt;=$D289,X$11&lt;=$E289),VLOOKUP($F289,$K$2:AL$8,X$1,"Falsch"),"")</f>
        <v/>
      </c>
      <c r="Y289" s="16" t="str">
        <f>IF(AND(Y$10&gt;=$D289,Y$11&lt;=$E289),VLOOKUP($F289,$K$2:AM$8,Y$1,"Falsch"),"")</f>
        <v/>
      </c>
      <c r="Z289" s="16" t="str">
        <f>IF(AND(Z$10&gt;=$D289,Z$11&lt;=$E289),VLOOKUP($F289,$K$2:AN$8,Z$1,"Falsch"),"")</f>
        <v/>
      </c>
      <c r="AA289" s="16" t="str">
        <f>IF(AND(AA$10&gt;=$D289,AA$11&lt;=$E289),VLOOKUP($F289,$K$2:AO$8,AA$1,"Falsch"),"")</f>
        <v/>
      </c>
      <c r="AB289" s="16" t="str">
        <f>IF(AND(AB$10&gt;=$D289,AB$11&lt;=$E289),VLOOKUP($F289,$K$2:AP$8,AB$1,"Falsch"),"")</f>
        <v/>
      </c>
      <c r="AC289" s="16" t="str">
        <f>IF(AND(AC$10&gt;=$D289,AC$11&lt;=$E289),VLOOKUP($F289,$K$2:AQ$8,AC$1,"Falsch"),"")</f>
        <v/>
      </c>
      <c r="AD289" s="16" t="str">
        <f>IF(AND(AD$10&gt;=$D289,AD$11&lt;=$E289),VLOOKUP($F289,$K$2:AR$8,AD$1,"Falsch"),"")</f>
        <v/>
      </c>
    </row>
    <row r="290" spans="9:30" x14ac:dyDescent="0.25">
      <c r="I290" s="21">
        <f t="shared" si="39"/>
        <v>0</v>
      </c>
      <c r="K290" s="25">
        <f t="shared" si="38"/>
        <v>0</v>
      </c>
      <c r="L290" s="16" t="str">
        <f>IF(AND(L$10&gt;=$D290,L$11&lt;=$E290),VLOOKUP($F290,$K$2:Z$8,L$1,"Falsch"),"")</f>
        <v/>
      </c>
      <c r="M290" s="16" t="str">
        <f>IF(AND(M$10&gt;=$D290,M$11&lt;=$E290),VLOOKUP($F290,$K$2:AA$8,M$1,"Falsch"),"")</f>
        <v/>
      </c>
      <c r="N290" s="16" t="str">
        <f>IF(AND(N$10&gt;=$D290,N$11&lt;=$E290),VLOOKUP($F290,$K$2:AB$8,N$1,"Falsch"),"")</f>
        <v/>
      </c>
      <c r="O290" s="16" t="str">
        <f>IF(AND(O$10&gt;=$D290,O$11&lt;=$E290),VLOOKUP($F290,$K$2:AC$8,O$1,"Falsch"),"")</f>
        <v/>
      </c>
      <c r="P290" s="16" t="str">
        <f>IF(AND(P$10&gt;=$D290,P$11&lt;=$E290),VLOOKUP($F290,$K$2:AD$8,P$1,"Falsch"),"")</f>
        <v/>
      </c>
      <c r="Q290" s="16" t="str">
        <f>IF(AND(Q$10&gt;=$D290,Q$11&lt;=$E290),VLOOKUP($F290,$K$2:AE$8,Q$1,"Falsch"),"")</f>
        <v/>
      </c>
      <c r="R290" s="16" t="str">
        <f>IF(AND(R$10&gt;=$D290,R$11&lt;=$E290),VLOOKUP($F290,$K$2:AF$8,R$1,"Falsch"),"")</f>
        <v/>
      </c>
      <c r="S290" s="16" t="str">
        <f>IF(AND(S$10&gt;=$D290,S$11&lt;=$E290),VLOOKUP($F290,$K$2:AG$8,S$1,"Falsch"),"")</f>
        <v/>
      </c>
      <c r="T290" s="16" t="str">
        <f>IF(AND(T$10&gt;=$D290,T$11&lt;=$E290),VLOOKUP($F290,$K$2:AH$8,T$1,"Falsch"),"")</f>
        <v/>
      </c>
      <c r="U290" s="16" t="str">
        <f>IF(AND(U$10&gt;=$D290,U$11&lt;=$E290),VLOOKUP($F290,$K$2:AI$8,U$1,"Falsch"),"")</f>
        <v/>
      </c>
      <c r="V290" s="16" t="str">
        <f>IF(AND(V$10&gt;=$D290,V$11&lt;=$E290),VLOOKUP($F290,$K$2:AJ$8,V$1,"Falsch"),"")</f>
        <v/>
      </c>
      <c r="W290" s="16" t="str">
        <f>IF(AND(W$10&gt;=$D290,W$11&lt;=$E290),VLOOKUP($F290,$K$2:AK$8,W$1,"Falsch"),"")</f>
        <v/>
      </c>
      <c r="X290" s="16" t="str">
        <f>IF(AND(X$10&gt;=$D290,X$11&lt;=$E290),VLOOKUP($F290,$K$2:AL$8,X$1,"Falsch"),"")</f>
        <v/>
      </c>
      <c r="Y290" s="16" t="str">
        <f>IF(AND(Y$10&gt;=$D290,Y$11&lt;=$E290),VLOOKUP($F290,$K$2:AM$8,Y$1,"Falsch"),"")</f>
        <v/>
      </c>
      <c r="Z290" s="16" t="str">
        <f>IF(AND(Z$10&gt;=$D290,Z$11&lt;=$E290),VLOOKUP($F290,$K$2:AN$8,Z$1,"Falsch"),"")</f>
        <v/>
      </c>
      <c r="AA290" s="16" t="str">
        <f>IF(AND(AA$10&gt;=$D290,AA$11&lt;=$E290),VLOOKUP($F290,$K$2:AO$8,AA$1,"Falsch"),"")</f>
        <v/>
      </c>
      <c r="AB290" s="16" t="str">
        <f>IF(AND(AB$10&gt;=$D290,AB$11&lt;=$E290),VLOOKUP($F290,$K$2:AP$8,AB$1,"Falsch"),"")</f>
        <v/>
      </c>
      <c r="AC290" s="16" t="str">
        <f>IF(AND(AC$10&gt;=$D290,AC$11&lt;=$E290),VLOOKUP($F290,$K$2:AQ$8,AC$1,"Falsch"),"")</f>
        <v/>
      </c>
      <c r="AD290" s="16" t="str">
        <f>IF(AND(AD$10&gt;=$D290,AD$11&lt;=$E290),VLOOKUP($F290,$K$2:AR$8,AD$1,"Falsch"),"")</f>
        <v/>
      </c>
    </row>
    <row r="291" spans="9:30" x14ac:dyDescent="0.25">
      <c r="I291" s="21">
        <f t="shared" si="39"/>
        <v>0</v>
      </c>
      <c r="K291" s="25">
        <f t="shared" si="38"/>
        <v>0</v>
      </c>
      <c r="L291" s="16" t="str">
        <f>IF(AND(L$10&gt;=$D291,L$11&lt;=$E291),VLOOKUP($F291,$K$2:Z$8,L$1,"Falsch"),"")</f>
        <v/>
      </c>
      <c r="M291" s="16" t="str">
        <f>IF(AND(M$10&gt;=$D291,M$11&lt;=$E291),VLOOKUP($F291,$K$2:AA$8,M$1,"Falsch"),"")</f>
        <v/>
      </c>
      <c r="N291" s="16" t="str">
        <f>IF(AND(N$10&gt;=$D291,N$11&lt;=$E291),VLOOKUP($F291,$K$2:AB$8,N$1,"Falsch"),"")</f>
        <v/>
      </c>
      <c r="O291" s="16" t="str">
        <f>IF(AND(O$10&gt;=$D291,O$11&lt;=$E291),VLOOKUP($F291,$K$2:AC$8,O$1,"Falsch"),"")</f>
        <v/>
      </c>
      <c r="P291" s="16" t="str">
        <f>IF(AND(P$10&gt;=$D291,P$11&lt;=$E291),VLOOKUP($F291,$K$2:AD$8,P$1,"Falsch"),"")</f>
        <v/>
      </c>
      <c r="Q291" s="16" t="str">
        <f>IF(AND(Q$10&gt;=$D291,Q$11&lt;=$E291),VLOOKUP($F291,$K$2:AE$8,Q$1,"Falsch"),"")</f>
        <v/>
      </c>
      <c r="R291" s="16" t="str">
        <f>IF(AND(R$10&gt;=$D291,R$11&lt;=$E291),VLOOKUP($F291,$K$2:AF$8,R$1,"Falsch"),"")</f>
        <v/>
      </c>
      <c r="S291" s="16" t="str">
        <f>IF(AND(S$10&gt;=$D291,S$11&lt;=$E291),VLOOKUP($F291,$K$2:AG$8,S$1,"Falsch"),"")</f>
        <v/>
      </c>
      <c r="T291" s="16" t="str">
        <f>IF(AND(T$10&gt;=$D291,T$11&lt;=$E291),VLOOKUP($F291,$K$2:AH$8,T$1,"Falsch"),"")</f>
        <v/>
      </c>
      <c r="U291" s="16" t="str">
        <f>IF(AND(U$10&gt;=$D291,U$11&lt;=$E291),VLOOKUP($F291,$K$2:AI$8,U$1,"Falsch"),"")</f>
        <v/>
      </c>
      <c r="V291" s="16" t="str">
        <f>IF(AND(V$10&gt;=$D291,V$11&lt;=$E291),VLOOKUP($F291,$K$2:AJ$8,V$1,"Falsch"),"")</f>
        <v/>
      </c>
      <c r="W291" s="16" t="str">
        <f>IF(AND(W$10&gt;=$D291,W$11&lt;=$E291),VLOOKUP($F291,$K$2:AK$8,W$1,"Falsch"),"")</f>
        <v/>
      </c>
      <c r="X291" s="16" t="str">
        <f>IF(AND(X$10&gt;=$D291,X$11&lt;=$E291),VLOOKUP($F291,$K$2:AL$8,X$1,"Falsch"),"")</f>
        <v/>
      </c>
      <c r="Y291" s="16" t="str">
        <f>IF(AND(Y$10&gt;=$D291,Y$11&lt;=$E291),VLOOKUP($F291,$K$2:AM$8,Y$1,"Falsch"),"")</f>
        <v/>
      </c>
      <c r="Z291" s="16" t="str">
        <f>IF(AND(Z$10&gt;=$D291,Z$11&lt;=$E291),VLOOKUP($F291,$K$2:AN$8,Z$1,"Falsch"),"")</f>
        <v/>
      </c>
      <c r="AA291" s="16" t="str">
        <f>IF(AND(AA$10&gt;=$D291,AA$11&lt;=$E291),VLOOKUP($F291,$K$2:AO$8,AA$1,"Falsch"),"")</f>
        <v/>
      </c>
      <c r="AB291" s="16" t="str">
        <f>IF(AND(AB$10&gt;=$D291,AB$11&lt;=$E291),VLOOKUP($F291,$K$2:AP$8,AB$1,"Falsch"),"")</f>
        <v/>
      </c>
      <c r="AC291" s="16" t="str">
        <f>IF(AND(AC$10&gt;=$D291,AC$11&lt;=$E291),VLOOKUP($F291,$K$2:AQ$8,AC$1,"Falsch"),"")</f>
        <v/>
      </c>
      <c r="AD291" s="16" t="str">
        <f>IF(AND(AD$10&gt;=$D291,AD$11&lt;=$E291),VLOOKUP($F291,$K$2:AR$8,AD$1,"Falsch"),"")</f>
        <v/>
      </c>
    </row>
    <row r="292" spans="9:30" x14ac:dyDescent="0.25">
      <c r="I292" s="21">
        <f t="shared" si="39"/>
        <v>0</v>
      </c>
      <c r="K292" s="25">
        <f t="shared" si="38"/>
        <v>0</v>
      </c>
      <c r="L292" s="16" t="str">
        <f>IF(AND(L$10&gt;=$D292,L$11&lt;=$E292),VLOOKUP($F292,$K$2:Z$8,L$1,"Falsch"),"")</f>
        <v/>
      </c>
      <c r="M292" s="16" t="str">
        <f>IF(AND(M$10&gt;=$D292,M$11&lt;=$E292),VLOOKUP($F292,$K$2:AA$8,M$1,"Falsch"),"")</f>
        <v/>
      </c>
      <c r="N292" s="16" t="str">
        <f>IF(AND(N$10&gt;=$D292,N$11&lt;=$E292),VLOOKUP($F292,$K$2:AB$8,N$1,"Falsch"),"")</f>
        <v/>
      </c>
      <c r="O292" s="16" t="str">
        <f>IF(AND(O$10&gt;=$D292,O$11&lt;=$E292),VLOOKUP($F292,$K$2:AC$8,O$1,"Falsch"),"")</f>
        <v/>
      </c>
      <c r="P292" s="16" t="str">
        <f>IF(AND(P$10&gt;=$D292,P$11&lt;=$E292),VLOOKUP($F292,$K$2:AD$8,P$1,"Falsch"),"")</f>
        <v/>
      </c>
      <c r="Q292" s="16" t="str">
        <f>IF(AND(Q$10&gt;=$D292,Q$11&lt;=$E292),VLOOKUP($F292,$K$2:AE$8,Q$1,"Falsch"),"")</f>
        <v/>
      </c>
      <c r="R292" s="16" t="str">
        <f>IF(AND(R$10&gt;=$D292,R$11&lt;=$E292),VLOOKUP($F292,$K$2:AF$8,R$1,"Falsch"),"")</f>
        <v/>
      </c>
      <c r="S292" s="16" t="str">
        <f>IF(AND(S$10&gt;=$D292,S$11&lt;=$E292),VLOOKUP($F292,$K$2:AG$8,S$1,"Falsch"),"")</f>
        <v/>
      </c>
      <c r="T292" s="16" t="str">
        <f>IF(AND(T$10&gt;=$D292,T$11&lt;=$E292),VLOOKUP($F292,$K$2:AH$8,T$1,"Falsch"),"")</f>
        <v/>
      </c>
      <c r="U292" s="16" t="str">
        <f>IF(AND(U$10&gt;=$D292,U$11&lt;=$E292),VLOOKUP($F292,$K$2:AI$8,U$1,"Falsch"),"")</f>
        <v/>
      </c>
      <c r="V292" s="16" t="str">
        <f>IF(AND(V$10&gt;=$D292,V$11&lt;=$E292),VLOOKUP($F292,$K$2:AJ$8,V$1,"Falsch"),"")</f>
        <v/>
      </c>
      <c r="W292" s="16" t="str">
        <f>IF(AND(W$10&gt;=$D292,W$11&lt;=$E292),VLOOKUP($F292,$K$2:AK$8,W$1,"Falsch"),"")</f>
        <v/>
      </c>
      <c r="X292" s="16" t="str">
        <f>IF(AND(X$10&gt;=$D292,X$11&lt;=$E292),VLOOKUP($F292,$K$2:AL$8,X$1,"Falsch"),"")</f>
        <v/>
      </c>
      <c r="Y292" s="16" t="str">
        <f>IF(AND(Y$10&gt;=$D292,Y$11&lt;=$E292),VLOOKUP($F292,$K$2:AM$8,Y$1,"Falsch"),"")</f>
        <v/>
      </c>
      <c r="Z292" s="16" t="str">
        <f>IF(AND(Z$10&gt;=$D292,Z$11&lt;=$E292),VLOOKUP($F292,$K$2:AN$8,Z$1,"Falsch"),"")</f>
        <v/>
      </c>
      <c r="AA292" s="16" t="str">
        <f>IF(AND(AA$10&gt;=$D292,AA$11&lt;=$E292),VLOOKUP($F292,$K$2:AO$8,AA$1,"Falsch"),"")</f>
        <v/>
      </c>
      <c r="AB292" s="16" t="str">
        <f>IF(AND(AB$10&gt;=$D292,AB$11&lt;=$E292),VLOOKUP($F292,$K$2:AP$8,AB$1,"Falsch"),"")</f>
        <v/>
      </c>
      <c r="AC292" s="16" t="str">
        <f>IF(AND(AC$10&gt;=$D292,AC$11&lt;=$E292),VLOOKUP($F292,$K$2:AQ$8,AC$1,"Falsch"),"")</f>
        <v/>
      </c>
      <c r="AD292" s="16" t="str">
        <f>IF(AND(AD$10&gt;=$D292,AD$11&lt;=$E292),VLOOKUP($F292,$K$2:AR$8,AD$1,"Falsch"),"")</f>
        <v/>
      </c>
    </row>
    <row r="293" spans="9:30" x14ac:dyDescent="0.25">
      <c r="I293" s="21">
        <f t="shared" si="39"/>
        <v>0</v>
      </c>
      <c r="K293" s="25">
        <f t="shared" si="38"/>
        <v>0</v>
      </c>
      <c r="L293" s="16" t="str">
        <f>IF(AND(L$10&gt;=$D293,L$11&lt;=$E293),VLOOKUP($F293,$K$2:Z$8,L$1,"Falsch"),"")</f>
        <v/>
      </c>
      <c r="M293" s="16" t="str">
        <f>IF(AND(M$10&gt;=$D293,M$11&lt;=$E293),VLOOKUP($F293,$K$2:AA$8,M$1,"Falsch"),"")</f>
        <v/>
      </c>
      <c r="N293" s="16" t="str">
        <f>IF(AND(N$10&gt;=$D293,N$11&lt;=$E293),VLOOKUP($F293,$K$2:AB$8,N$1,"Falsch"),"")</f>
        <v/>
      </c>
      <c r="O293" s="16" t="str">
        <f>IF(AND(O$10&gt;=$D293,O$11&lt;=$E293),VLOOKUP($F293,$K$2:AC$8,O$1,"Falsch"),"")</f>
        <v/>
      </c>
      <c r="P293" s="16" t="str">
        <f>IF(AND(P$10&gt;=$D293,P$11&lt;=$E293),VLOOKUP($F293,$K$2:AD$8,P$1,"Falsch"),"")</f>
        <v/>
      </c>
      <c r="Q293" s="16" t="str">
        <f>IF(AND(Q$10&gt;=$D293,Q$11&lt;=$E293),VLOOKUP($F293,$K$2:AE$8,Q$1,"Falsch"),"")</f>
        <v/>
      </c>
      <c r="R293" s="16" t="str">
        <f>IF(AND(R$10&gt;=$D293,R$11&lt;=$E293),VLOOKUP($F293,$K$2:AF$8,R$1,"Falsch"),"")</f>
        <v/>
      </c>
      <c r="S293" s="16" t="str">
        <f>IF(AND(S$10&gt;=$D293,S$11&lt;=$E293),VLOOKUP($F293,$K$2:AG$8,S$1,"Falsch"),"")</f>
        <v/>
      </c>
      <c r="T293" s="16" t="str">
        <f>IF(AND(T$10&gt;=$D293,T$11&lt;=$E293),VLOOKUP($F293,$K$2:AH$8,T$1,"Falsch"),"")</f>
        <v/>
      </c>
      <c r="U293" s="16" t="str">
        <f>IF(AND(U$10&gt;=$D293,U$11&lt;=$E293),VLOOKUP($F293,$K$2:AI$8,U$1,"Falsch"),"")</f>
        <v/>
      </c>
      <c r="V293" s="16" t="str">
        <f>IF(AND(V$10&gt;=$D293,V$11&lt;=$E293),VLOOKUP($F293,$K$2:AJ$8,V$1,"Falsch"),"")</f>
        <v/>
      </c>
      <c r="W293" s="16" t="str">
        <f>IF(AND(W$10&gt;=$D293,W$11&lt;=$E293),VLOOKUP($F293,$K$2:AK$8,W$1,"Falsch"),"")</f>
        <v/>
      </c>
      <c r="X293" s="16" t="str">
        <f>IF(AND(X$10&gt;=$D293,X$11&lt;=$E293),VLOOKUP($F293,$K$2:AL$8,X$1,"Falsch"),"")</f>
        <v/>
      </c>
      <c r="Y293" s="16" t="str">
        <f>IF(AND(Y$10&gt;=$D293,Y$11&lt;=$E293),VLOOKUP($F293,$K$2:AM$8,Y$1,"Falsch"),"")</f>
        <v/>
      </c>
      <c r="Z293" s="16" t="str">
        <f>IF(AND(Z$10&gt;=$D293,Z$11&lt;=$E293),VLOOKUP($F293,$K$2:AN$8,Z$1,"Falsch"),"")</f>
        <v/>
      </c>
      <c r="AA293" s="16" t="str">
        <f>IF(AND(AA$10&gt;=$D293,AA$11&lt;=$E293),VLOOKUP($F293,$K$2:AO$8,AA$1,"Falsch"),"")</f>
        <v/>
      </c>
      <c r="AB293" s="16" t="str">
        <f>IF(AND(AB$10&gt;=$D293,AB$11&lt;=$E293),VLOOKUP($F293,$K$2:AP$8,AB$1,"Falsch"),"")</f>
        <v/>
      </c>
      <c r="AC293" s="16" t="str">
        <f>IF(AND(AC$10&gt;=$D293,AC$11&lt;=$E293),VLOOKUP($F293,$K$2:AQ$8,AC$1,"Falsch"),"")</f>
        <v/>
      </c>
      <c r="AD293" s="16" t="str">
        <f>IF(AND(AD$10&gt;=$D293,AD$11&lt;=$E293),VLOOKUP($F293,$K$2:AR$8,AD$1,"Falsch"),"")</f>
        <v/>
      </c>
    </row>
    <row r="294" spans="9:30" x14ac:dyDescent="0.25">
      <c r="I294" s="21">
        <f t="shared" si="39"/>
        <v>0</v>
      </c>
      <c r="K294" s="25">
        <f t="shared" si="38"/>
        <v>0</v>
      </c>
      <c r="L294" s="16" t="str">
        <f>IF(AND(L$10&gt;=$D294,L$11&lt;=$E294),VLOOKUP($F294,$K$2:Z$8,L$1,"Falsch"),"")</f>
        <v/>
      </c>
      <c r="M294" s="16" t="str">
        <f>IF(AND(M$10&gt;=$D294,M$11&lt;=$E294),VLOOKUP($F294,$K$2:AA$8,M$1,"Falsch"),"")</f>
        <v/>
      </c>
      <c r="N294" s="16" t="str">
        <f>IF(AND(N$10&gt;=$D294,N$11&lt;=$E294),VLOOKUP($F294,$K$2:AB$8,N$1,"Falsch"),"")</f>
        <v/>
      </c>
      <c r="O294" s="16" t="str">
        <f>IF(AND(O$10&gt;=$D294,O$11&lt;=$E294),VLOOKUP($F294,$K$2:AC$8,O$1,"Falsch"),"")</f>
        <v/>
      </c>
      <c r="P294" s="16" t="str">
        <f>IF(AND(P$10&gt;=$D294,P$11&lt;=$E294),VLOOKUP($F294,$K$2:AD$8,P$1,"Falsch"),"")</f>
        <v/>
      </c>
      <c r="Q294" s="16" t="str">
        <f>IF(AND(Q$10&gt;=$D294,Q$11&lt;=$E294),VLOOKUP($F294,$K$2:AE$8,Q$1,"Falsch"),"")</f>
        <v/>
      </c>
      <c r="R294" s="16" t="str">
        <f>IF(AND(R$10&gt;=$D294,R$11&lt;=$E294),VLOOKUP($F294,$K$2:AF$8,R$1,"Falsch"),"")</f>
        <v/>
      </c>
      <c r="S294" s="16" t="str">
        <f>IF(AND(S$10&gt;=$D294,S$11&lt;=$E294),VLOOKUP($F294,$K$2:AG$8,S$1,"Falsch"),"")</f>
        <v/>
      </c>
      <c r="T294" s="16" t="str">
        <f>IF(AND(T$10&gt;=$D294,T$11&lt;=$E294),VLOOKUP($F294,$K$2:AH$8,T$1,"Falsch"),"")</f>
        <v/>
      </c>
      <c r="U294" s="16" t="str">
        <f>IF(AND(U$10&gt;=$D294,U$11&lt;=$E294),VLOOKUP($F294,$K$2:AI$8,U$1,"Falsch"),"")</f>
        <v/>
      </c>
      <c r="V294" s="16" t="str">
        <f>IF(AND(V$10&gt;=$D294,V$11&lt;=$E294),VLOOKUP($F294,$K$2:AJ$8,V$1,"Falsch"),"")</f>
        <v/>
      </c>
      <c r="W294" s="16" t="str">
        <f>IF(AND(W$10&gt;=$D294,W$11&lt;=$E294),VLOOKUP($F294,$K$2:AK$8,W$1,"Falsch"),"")</f>
        <v/>
      </c>
      <c r="X294" s="16" t="str">
        <f>IF(AND(X$10&gt;=$D294,X$11&lt;=$E294),VLOOKUP($F294,$K$2:AL$8,X$1,"Falsch"),"")</f>
        <v/>
      </c>
      <c r="Y294" s="16" t="str">
        <f>IF(AND(Y$10&gt;=$D294,Y$11&lt;=$E294),VLOOKUP($F294,$K$2:AM$8,Y$1,"Falsch"),"")</f>
        <v/>
      </c>
      <c r="Z294" s="16" t="str">
        <f>IF(AND(Z$10&gt;=$D294,Z$11&lt;=$E294),VLOOKUP($F294,$K$2:AN$8,Z$1,"Falsch"),"")</f>
        <v/>
      </c>
      <c r="AA294" s="16" t="str">
        <f>IF(AND(AA$10&gt;=$D294,AA$11&lt;=$E294),VLOOKUP($F294,$K$2:AO$8,AA$1,"Falsch"),"")</f>
        <v/>
      </c>
      <c r="AB294" s="16" t="str">
        <f>IF(AND(AB$10&gt;=$D294,AB$11&lt;=$E294),VLOOKUP($F294,$K$2:AP$8,AB$1,"Falsch"),"")</f>
        <v/>
      </c>
      <c r="AC294" s="16" t="str">
        <f>IF(AND(AC$10&gt;=$D294,AC$11&lt;=$E294),VLOOKUP($F294,$K$2:AQ$8,AC$1,"Falsch"),"")</f>
        <v/>
      </c>
      <c r="AD294" s="16" t="str">
        <f>IF(AND(AD$10&gt;=$D294,AD$11&lt;=$E294),VLOOKUP($F294,$K$2:AR$8,AD$1,"Falsch"),"")</f>
        <v/>
      </c>
    </row>
    <row r="295" spans="9:30" x14ac:dyDescent="0.25">
      <c r="I295" s="21">
        <f t="shared" si="39"/>
        <v>0</v>
      </c>
      <c r="K295" s="25">
        <f t="shared" si="38"/>
        <v>0</v>
      </c>
      <c r="L295" s="16" t="str">
        <f>IF(AND(L$10&gt;=$D295,L$11&lt;=$E295),VLOOKUP($F295,$K$2:Z$8,L$1,"Falsch"),"")</f>
        <v/>
      </c>
      <c r="M295" s="16" t="str">
        <f>IF(AND(M$10&gt;=$D295,M$11&lt;=$E295),VLOOKUP($F295,$K$2:AA$8,M$1,"Falsch"),"")</f>
        <v/>
      </c>
      <c r="N295" s="16" t="str">
        <f>IF(AND(N$10&gt;=$D295,N$11&lt;=$E295),VLOOKUP($F295,$K$2:AB$8,N$1,"Falsch"),"")</f>
        <v/>
      </c>
      <c r="O295" s="16" t="str">
        <f>IF(AND(O$10&gt;=$D295,O$11&lt;=$E295),VLOOKUP($F295,$K$2:AC$8,O$1,"Falsch"),"")</f>
        <v/>
      </c>
      <c r="P295" s="16" t="str">
        <f>IF(AND(P$10&gt;=$D295,P$11&lt;=$E295),VLOOKUP($F295,$K$2:AD$8,P$1,"Falsch"),"")</f>
        <v/>
      </c>
      <c r="Q295" s="16" t="str">
        <f>IF(AND(Q$10&gt;=$D295,Q$11&lt;=$E295),VLOOKUP($F295,$K$2:AE$8,Q$1,"Falsch"),"")</f>
        <v/>
      </c>
      <c r="R295" s="16" t="str">
        <f>IF(AND(R$10&gt;=$D295,R$11&lt;=$E295),VLOOKUP($F295,$K$2:AF$8,R$1,"Falsch"),"")</f>
        <v/>
      </c>
      <c r="S295" s="16" t="str">
        <f>IF(AND(S$10&gt;=$D295,S$11&lt;=$E295),VLOOKUP($F295,$K$2:AG$8,S$1,"Falsch"),"")</f>
        <v/>
      </c>
      <c r="T295" s="16" t="str">
        <f>IF(AND(T$10&gt;=$D295,T$11&lt;=$E295),VLOOKUP($F295,$K$2:AH$8,T$1,"Falsch"),"")</f>
        <v/>
      </c>
      <c r="U295" s="16" t="str">
        <f>IF(AND(U$10&gt;=$D295,U$11&lt;=$E295),VLOOKUP($F295,$K$2:AI$8,U$1,"Falsch"),"")</f>
        <v/>
      </c>
      <c r="V295" s="16" t="str">
        <f>IF(AND(V$10&gt;=$D295,V$11&lt;=$E295),VLOOKUP($F295,$K$2:AJ$8,V$1,"Falsch"),"")</f>
        <v/>
      </c>
      <c r="W295" s="16" t="str">
        <f>IF(AND(W$10&gt;=$D295,W$11&lt;=$E295),VLOOKUP($F295,$K$2:AK$8,W$1,"Falsch"),"")</f>
        <v/>
      </c>
      <c r="X295" s="16" t="str">
        <f>IF(AND(X$10&gt;=$D295,X$11&lt;=$E295),VLOOKUP($F295,$K$2:AL$8,X$1,"Falsch"),"")</f>
        <v/>
      </c>
      <c r="Y295" s="16" t="str">
        <f>IF(AND(Y$10&gt;=$D295,Y$11&lt;=$E295),VLOOKUP($F295,$K$2:AM$8,Y$1,"Falsch"),"")</f>
        <v/>
      </c>
      <c r="Z295" s="16" t="str">
        <f>IF(AND(Z$10&gt;=$D295,Z$11&lt;=$E295),VLOOKUP($F295,$K$2:AN$8,Z$1,"Falsch"),"")</f>
        <v/>
      </c>
      <c r="AA295" s="16" t="str">
        <f>IF(AND(AA$10&gt;=$D295,AA$11&lt;=$E295),VLOOKUP($F295,$K$2:AO$8,AA$1,"Falsch"),"")</f>
        <v/>
      </c>
      <c r="AB295" s="16" t="str">
        <f>IF(AND(AB$10&gt;=$D295,AB$11&lt;=$E295),VLOOKUP($F295,$K$2:AP$8,AB$1,"Falsch"),"")</f>
        <v/>
      </c>
      <c r="AC295" s="16" t="str">
        <f>IF(AND(AC$10&gt;=$D295,AC$11&lt;=$E295),VLOOKUP($F295,$K$2:AQ$8,AC$1,"Falsch"),"")</f>
        <v/>
      </c>
      <c r="AD295" s="16" t="str">
        <f>IF(AND(AD$10&gt;=$D295,AD$11&lt;=$E295),VLOOKUP($F295,$K$2:AR$8,AD$1,"Falsch"),"")</f>
        <v/>
      </c>
    </row>
    <row r="296" spans="9:30" x14ac:dyDescent="0.25">
      <c r="I296" s="21">
        <f t="shared" si="39"/>
        <v>0</v>
      </c>
      <c r="K296" s="25">
        <f t="shared" si="38"/>
        <v>0</v>
      </c>
      <c r="L296" s="16" t="str">
        <f>IF(AND(L$10&gt;=$D296,L$11&lt;=$E296),VLOOKUP($F296,$K$2:Z$8,L$1,"Falsch"),"")</f>
        <v/>
      </c>
      <c r="M296" s="16" t="str">
        <f>IF(AND(M$10&gt;=$D296,M$11&lt;=$E296),VLOOKUP($F296,$K$2:AA$8,M$1,"Falsch"),"")</f>
        <v/>
      </c>
      <c r="N296" s="16" t="str">
        <f>IF(AND(N$10&gt;=$D296,N$11&lt;=$E296),VLOOKUP($F296,$K$2:AB$8,N$1,"Falsch"),"")</f>
        <v/>
      </c>
      <c r="O296" s="16" t="str">
        <f>IF(AND(O$10&gt;=$D296,O$11&lt;=$E296),VLOOKUP($F296,$K$2:AC$8,O$1,"Falsch"),"")</f>
        <v/>
      </c>
      <c r="P296" s="16" t="str">
        <f>IF(AND(P$10&gt;=$D296,P$11&lt;=$E296),VLOOKUP($F296,$K$2:AD$8,P$1,"Falsch"),"")</f>
        <v/>
      </c>
      <c r="Q296" s="16" t="str">
        <f>IF(AND(Q$10&gt;=$D296,Q$11&lt;=$E296),VLOOKUP($F296,$K$2:AE$8,Q$1,"Falsch"),"")</f>
        <v/>
      </c>
      <c r="R296" s="16" t="str">
        <f>IF(AND(R$10&gt;=$D296,R$11&lt;=$E296),VLOOKUP($F296,$K$2:AF$8,R$1,"Falsch"),"")</f>
        <v/>
      </c>
      <c r="S296" s="16" t="str">
        <f>IF(AND(S$10&gt;=$D296,S$11&lt;=$E296),VLOOKUP($F296,$K$2:AG$8,S$1,"Falsch"),"")</f>
        <v/>
      </c>
      <c r="T296" s="16" t="str">
        <f>IF(AND(T$10&gt;=$D296,T$11&lt;=$E296),VLOOKUP($F296,$K$2:AH$8,T$1,"Falsch"),"")</f>
        <v/>
      </c>
      <c r="U296" s="16" t="str">
        <f>IF(AND(U$10&gt;=$D296,U$11&lt;=$E296),VLOOKUP($F296,$K$2:AI$8,U$1,"Falsch"),"")</f>
        <v/>
      </c>
      <c r="V296" s="16" t="str">
        <f>IF(AND(V$10&gt;=$D296,V$11&lt;=$E296),VLOOKUP($F296,$K$2:AJ$8,V$1,"Falsch"),"")</f>
        <v/>
      </c>
      <c r="W296" s="16" t="str">
        <f>IF(AND(W$10&gt;=$D296,W$11&lt;=$E296),VLOOKUP($F296,$K$2:AK$8,W$1,"Falsch"),"")</f>
        <v/>
      </c>
      <c r="X296" s="16" t="str">
        <f>IF(AND(X$10&gt;=$D296,X$11&lt;=$E296),VLOOKUP($F296,$K$2:AL$8,X$1,"Falsch"),"")</f>
        <v/>
      </c>
      <c r="Y296" s="16" t="str">
        <f>IF(AND(Y$10&gt;=$D296,Y$11&lt;=$E296),VLOOKUP($F296,$K$2:AM$8,Y$1,"Falsch"),"")</f>
        <v/>
      </c>
      <c r="Z296" s="16" t="str">
        <f>IF(AND(Z$10&gt;=$D296,Z$11&lt;=$E296),VLOOKUP($F296,$K$2:AN$8,Z$1,"Falsch"),"")</f>
        <v/>
      </c>
      <c r="AA296" s="16" t="str">
        <f>IF(AND(AA$10&gt;=$D296,AA$11&lt;=$E296),VLOOKUP($F296,$K$2:AO$8,AA$1,"Falsch"),"")</f>
        <v/>
      </c>
      <c r="AB296" s="16" t="str">
        <f>IF(AND(AB$10&gt;=$D296,AB$11&lt;=$E296),VLOOKUP($F296,$K$2:AP$8,AB$1,"Falsch"),"")</f>
        <v/>
      </c>
      <c r="AC296" s="16" t="str">
        <f>IF(AND(AC$10&gt;=$D296,AC$11&lt;=$E296),VLOOKUP($F296,$K$2:AQ$8,AC$1,"Falsch"),"")</f>
        <v/>
      </c>
      <c r="AD296" s="16" t="str">
        <f>IF(AND(AD$10&gt;=$D296,AD$11&lt;=$E296),VLOOKUP($F296,$K$2:AR$8,AD$1,"Falsch"),"")</f>
        <v/>
      </c>
    </row>
    <row r="297" spans="9:30" x14ac:dyDescent="0.25">
      <c r="I297" s="21">
        <f t="shared" si="39"/>
        <v>0</v>
      </c>
      <c r="K297" s="25">
        <f t="shared" si="38"/>
        <v>0</v>
      </c>
      <c r="L297" s="16" t="str">
        <f>IF(AND(L$10&gt;=$D297,L$11&lt;=$E297),VLOOKUP($F297,$K$2:Z$8,L$1,"Falsch"),"")</f>
        <v/>
      </c>
      <c r="M297" s="16" t="str">
        <f>IF(AND(M$10&gt;=$D297,M$11&lt;=$E297),VLOOKUP($F297,$K$2:AA$8,M$1,"Falsch"),"")</f>
        <v/>
      </c>
      <c r="N297" s="16" t="str">
        <f>IF(AND(N$10&gt;=$D297,N$11&lt;=$E297),VLOOKUP($F297,$K$2:AB$8,N$1,"Falsch"),"")</f>
        <v/>
      </c>
      <c r="O297" s="16" t="str">
        <f>IF(AND(O$10&gt;=$D297,O$11&lt;=$E297),VLOOKUP($F297,$K$2:AC$8,O$1,"Falsch"),"")</f>
        <v/>
      </c>
      <c r="P297" s="16" t="str">
        <f>IF(AND(P$10&gt;=$D297,P$11&lt;=$E297),VLOOKUP($F297,$K$2:AD$8,P$1,"Falsch"),"")</f>
        <v/>
      </c>
      <c r="Q297" s="16" t="str">
        <f>IF(AND(Q$10&gt;=$D297,Q$11&lt;=$E297),VLOOKUP($F297,$K$2:AE$8,Q$1,"Falsch"),"")</f>
        <v/>
      </c>
      <c r="R297" s="16" t="str">
        <f>IF(AND(R$10&gt;=$D297,R$11&lt;=$E297),VLOOKUP($F297,$K$2:AF$8,R$1,"Falsch"),"")</f>
        <v/>
      </c>
      <c r="S297" s="16" t="str">
        <f>IF(AND(S$10&gt;=$D297,S$11&lt;=$E297),VLOOKUP($F297,$K$2:AG$8,S$1,"Falsch"),"")</f>
        <v/>
      </c>
      <c r="T297" s="16" t="str">
        <f>IF(AND(T$10&gt;=$D297,T$11&lt;=$E297),VLOOKUP($F297,$K$2:AH$8,T$1,"Falsch"),"")</f>
        <v/>
      </c>
      <c r="U297" s="16" t="str">
        <f>IF(AND(U$10&gt;=$D297,U$11&lt;=$E297),VLOOKUP($F297,$K$2:AI$8,U$1,"Falsch"),"")</f>
        <v/>
      </c>
      <c r="V297" s="16" t="str">
        <f>IF(AND(V$10&gt;=$D297,V$11&lt;=$E297),VLOOKUP($F297,$K$2:AJ$8,V$1,"Falsch"),"")</f>
        <v/>
      </c>
      <c r="W297" s="16" t="str">
        <f>IF(AND(W$10&gt;=$D297,W$11&lt;=$E297),VLOOKUP($F297,$K$2:AK$8,W$1,"Falsch"),"")</f>
        <v/>
      </c>
      <c r="X297" s="16" t="str">
        <f>IF(AND(X$10&gt;=$D297,X$11&lt;=$E297),VLOOKUP($F297,$K$2:AL$8,X$1,"Falsch"),"")</f>
        <v/>
      </c>
      <c r="Y297" s="16" t="str">
        <f>IF(AND(Y$10&gt;=$D297,Y$11&lt;=$E297),VLOOKUP($F297,$K$2:AM$8,Y$1,"Falsch"),"")</f>
        <v/>
      </c>
      <c r="Z297" s="16" t="str">
        <f>IF(AND(Z$10&gt;=$D297,Z$11&lt;=$E297),VLOOKUP($F297,$K$2:AN$8,Z$1,"Falsch"),"")</f>
        <v/>
      </c>
      <c r="AA297" s="16" t="str">
        <f>IF(AND(AA$10&gt;=$D297,AA$11&lt;=$E297),VLOOKUP($F297,$K$2:AO$8,AA$1,"Falsch"),"")</f>
        <v/>
      </c>
      <c r="AB297" s="16" t="str">
        <f>IF(AND(AB$10&gt;=$D297,AB$11&lt;=$E297),VLOOKUP($F297,$K$2:AP$8,AB$1,"Falsch"),"")</f>
        <v/>
      </c>
      <c r="AC297" s="16" t="str">
        <f>IF(AND(AC$10&gt;=$D297,AC$11&lt;=$E297),VLOOKUP($F297,$K$2:AQ$8,AC$1,"Falsch"),"")</f>
        <v/>
      </c>
      <c r="AD297" s="16" t="str">
        <f>IF(AND(AD$10&gt;=$D297,AD$11&lt;=$E297),VLOOKUP($F297,$K$2:AR$8,AD$1,"Falsch"),"")</f>
        <v/>
      </c>
    </row>
    <row r="298" spans="9:30" x14ac:dyDescent="0.25">
      <c r="I298" s="21">
        <f t="shared" si="39"/>
        <v>0</v>
      </c>
      <c r="K298" s="25">
        <f t="shared" si="38"/>
        <v>0</v>
      </c>
      <c r="L298" s="16" t="str">
        <f>IF(AND(L$10&gt;=$D298,L$11&lt;=$E298),VLOOKUP($F298,$K$2:Z$8,L$1,"Falsch"),"")</f>
        <v/>
      </c>
      <c r="M298" s="16" t="str">
        <f>IF(AND(M$10&gt;=$D298,M$11&lt;=$E298),VLOOKUP($F298,$K$2:AA$8,M$1,"Falsch"),"")</f>
        <v/>
      </c>
      <c r="N298" s="16" t="str">
        <f>IF(AND(N$10&gt;=$D298,N$11&lt;=$E298),VLOOKUP($F298,$K$2:AB$8,N$1,"Falsch"),"")</f>
        <v/>
      </c>
      <c r="O298" s="16" t="str">
        <f>IF(AND(O$10&gt;=$D298,O$11&lt;=$E298),VLOOKUP($F298,$K$2:AC$8,O$1,"Falsch"),"")</f>
        <v/>
      </c>
      <c r="P298" s="16" t="str">
        <f>IF(AND(P$10&gt;=$D298,P$11&lt;=$E298),VLOOKUP($F298,$K$2:AD$8,P$1,"Falsch"),"")</f>
        <v/>
      </c>
      <c r="Q298" s="16" t="str">
        <f>IF(AND(Q$10&gt;=$D298,Q$11&lt;=$E298),VLOOKUP($F298,$K$2:AE$8,Q$1,"Falsch"),"")</f>
        <v/>
      </c>
      <c r="R298" s="16" t="str">
        <f>IF(AND(R$10&gt;=$D298,R$11&lt;=$E298),VLOOKUP($F298,$K$2:AF$8,R$1,"Falsch"),"")</f>
        <v/>
      </c>
      <c r="S298" s="16" t="str">
        <f>IF(AND(S$10&gt;=$D298,S$11&lt;=$E298),VLOOKUP($F298,$K$2:AG$8,S$1,"Falsch"),"")</f>
        <v/>
      </c>
      <c r="T298" s="16" t="str">
        <f>IF(AND(T$10&gt;=$D298,T$11&lt;=$E298),VLOOKUP($F298,$K$2:AH$8,T$1,"Falsch"),"")</f>
        <v/>
      </c>
      <c r="U298" s="16" t="str">
        <f>IF(AND(U$10&gt;=$D298,U$11&lt;=$E298),VLOOKUP($F298,$K$2:AI$8,U$1,"Falsch"),"")</f>
        <v/>
      </c>
      <c r="V298" s="16" t="str">
        <f>IF(AND(V$10&gt;=$D298,V$11&lt;=$E298),VLOOKUP($F298,$K$2:AJ$8,V$1,"Falsch"),"")</f>
        <v/>
      </c>
      <c r="W298" s="16" t="str">
        <f>IF(AND(W$10&gt;=$D298,W$11&lt;=$E298),VLOOKUP($F298,$K$2:AK$8,W$1,"Falsch"),"")</f>
        <v/>
      </c>
      <c r="X298" s="16" t="str">
        <f>IF(AND(X$10&gt;=$D298,X$11&lt;=$E298),VLOOKUP($F298,$K$2:AL$8,X$1,"Falsch"),"")</f>
        <v/>
      </c>
      <c r="Y298" s="16" t="str">
        <f>IF(AND(Y$10&gt;=$D298,Y$11&lt;=$E298),VLOOKUP($F298,$K$2:AM$8,Y$1,"Falsch"),"")</f>
        <v/>
      </c>
      <c r="Z298" s="16" t="str">
        <f>IF(AND(Z$10&gt;=$D298,Z$11&lt;=$E298),VLOOKUP($F298,$K$2:AN$8,Z$1,"Falsch"),"")</f>
        <v/>
      </c>
      <c r="AA298" s="16" t="str">
        <f>IF(AND(AA$10&gt;=$D298,AA$11&lt;=$E298),VLOOKUP($F298,$K$2:AO$8,AA$1,"Falsch"),"")</f>
        <v/>
      </c>
      <c r="AB298" s="16" t="str">
        <f>IF(AND(AB$10&gt;=$D298,AB$11&lt;=$E298),VLOOKUP($F298,$K$2:AP$8,AB$1,"Falsch"),"")</f>
        <v/>
      </c>
      <c r="AC298" s="16" t="str">
        <f>IF(AND(AC$10&gt;=$D298,AC$11&lt;=$E298),VLOOKUP($F298,$K$2:AQ$8,AC$1,"Falsch"),"")</f>
        <v/>
      </c>
      <c r="AD298" s="16" t="str">
        <f>IF(AND(AD$10&gt;=$D298,AD$11&lt;=$E298),VLOOKUP($F298,$K$2:AR$8,AD$1,"Falsch"),"")</f>
        <v/>
      </c>
    </row>
    <row r="299" spans="9:30" x14ac:dyDescent="0.25">
      <c r="I299" s="21">
        <f t="shared" si="39"/>
        <v>0</v>
      </c>
      <c r="K299" s="25">
        <f t="shared" si="38"/>
        <v>0</v>
      </c>
      <c r="L299" s="16" t="str">
        <f>IF(AND(L$10&gt;=$D299,L$11&lt;=$E299),VLOOKUP($F299,$K$2:Z$8,L$1,"Falsch"),"")</f>
        <v/>
      </c>
      <c r="M299" s="16" t="str">
        <f>IF(AND(M$10&gt;=$D299,M$11&lt;=$E299),VLOOKUP($F299,$K$2:AA$8,M$1,"Falsch"),"")</f>
        <v/>
      </c>
      <c r="N299" s="16" t="str">
        <f>IF(AND(N$10&gt;=$D299,N$11&lt;=$E299),VLOOKUP($F299,$K$2:AB$8,N$1,"Falsch"),"")</f>
        <v/>
      </c>
      <c r="O299" s="16" t="str">
        <f>IF(AND(O$10&gt;=$D299,O$11&lt;=$E299),VLOOKUP($F299,$K$2:AC$8,O$1,"Falsch"),"")</f>
        <v/>
      </c>
      <c r="P299" s="16" t="str">
        <f>IF(AND(P$10&gt;=$D299,P$11&lt;=$E299),VLOOKUP($F299,$K$2:AD$8,P$1,"Falsch"),"")</f>
        <v/>
      </c>
      <c r="Q299" s="16" t="str">
        <f>IF(AND(Q$10&gt;=$D299,Q$11&lt;=$E299),VLOOKUP($F299,$K$2:AE$8,Q$1,"Falsch"),"")</f>
        <v/>
      </c>
      <c r="R299" s="16" t="str">
        <f>IF(AND(R$10&gt;=$D299,R$11&lt;=$E299),VLOOKUP($F299,$K$2:AF$8,R$1,"Falsch"),"")</f>
        <v/>
      </c>
      <c r="S299" s="16" t="str">
        <f>IF(AND(S$10&gt;=$D299,S$11&lt;=$E299),VLOOKUP($F299,$K$2:AG$8,S$1,"Falsch"),"")</f>
        <v/>
      </c>
      <c r="T299" s="16" t="str">
        <f>IF(AND(T$10&gt;=$D299,T$11&lt;=$E299),VLOOKUP($F299,$K$2:AH$8,T$1,"Falsch"),"")</f>
        <v/>
      </c>
      <c r="U299" s="16" t="str">
        <f>IF(AND(U$10&gt;=$D299,U$11&lt;=$E299),VLOOKUP($F299,$K$2:AI$8,U$1,"Falsch"),"")</f>
        <v/>
      </c>
      <c r="V299" s="16" t="str">
        <f>IF(AND(V$10&gt;=$D299,V$11&lt;=$E299),VLOOKUP($F299,$K$2:AJ$8,V$1,"Falsch"),"")</f>
        <v/>
      </c>
      <c r="W299" s="16" t="str">
        <f>IF(AND(W$10&gt;=$D299,W$11&lt;=$E299),VLOOKUP($F299,$K$2:AK$8,W$1,"Falsch"),"")</f>
        <v/>
      </c>
      <c r="X299" s="16" t="str">
        <f>IF(AND(X$10&gt;=$D299,X$11&lt;=$E299),VLOOKUP($F299,$K$2:AL$8,X$1,"Falsch"),"")</f>
        <v/>
      </c>
      <c r="Y299" s="16" t="str">
        <f>IF(AND(Y$10&gt;=$D299,Y$11&lt;=$E299),VLOOKUP($F299,$K$2:AM$8,Y$1,"Falsch"),"")</f>
        <v/>
      </c>
      <c r="Z299" s="16" t="str">
        <f>IF(AND(Z$10&gt;=$D299,Z$11&lt;=$E299),VLOOKUP($F299,$K$2:AN$8,Z$1,"Falsch"),"")</f>
        <v/>
      </c>
      <c r="AA299" s="16" t="str">
        <f>IF(AND(AA$10&gt;=$D299,AA$11&lt;=$E299),VLOOKUP($F299,$K$2:AO$8,AA$1,"Falsch"),"")</f>
        <v/>
      </c>
      <c r="AB299" s="16" t="str">
        <f>IF(AND(AB$10&gt;=$D299,AB$11&lt;=$E299),VLOOKUP($F299,$K$2:AP$8,AB$1,"Falsch"),"")</f>
        <v/>
      </c>
      <c r="AC299" s="16" t="str">
        <f>IF(AND(AC$10&gt;=$D299,AC$11&lt;=$E299),VLOOKUP($F299,$K$2:AQ$8,AC$1,"Falsch"),"")</f>
        <v/>
      </c>
      <c r="AD299" s="16" t="str">
        <f>IF(AND(AD$10&gt;=$D299,AD$11&lt;=$E299),VLOOKUP($F299,$K$2:AR$8,AD$1,"Falsch"),"")</f>
        <v/>
      </c>
    </row>
    <row r="300" spans="9:30" x14ac:dyDescent="0.25">
      <c r="I300" s="21">
        <f t="shared" si="39"/>
        <v>0</v>
      </c>
      <c r="K300" s="25">
        <f t="shared" si="38"/>
        <v>0</v>
      </c>
      <c r="L300" s="16" t="str">
        <f>IF(AND(L$10&gt;=$D300,L$11&lt;=$E300),VLOOKUP($F300,$K$2:Z$8,L$1,"Falsch"),"")</f>
        <v/>
      </c>
      <c r="M300" s="16" t="str">
        <f>IF(AND(M$10&gt;=$D300,M$11&lt;=$E300),VLOOKUP($F300,$K$2:AA$8,M$1,"Falsch"),"")</f>
        <v/>
      </c>
      <c r="N300" s="16" t="str">
        <f>IF(AND(N$10&gt;=$D300,N$11&lt;=$E300),VLOOKUP($F300,$K$2:AB$8,N$1,"Falsch"),"")</f>
        <v/>
      </c>
      <c r="O300" s="16" t="str">
        <f>IF(AND(O$10&gt;=$D300,O$11&lt;=$E300),VLOOKUP($F300,$K$2:AC$8,O$1,"Falsch"),"")</f>
        <v/>
      </c>
      <c r="P300" s="16" t="str">
        <f>IF(AND(P$10&gt;=$D300,P$11&lt;=$E300),VLOOKUP($F300,$K$2:AD$8,P$1,"Falsch"),"")</f>
        <v/>
      </c>
      <c r="Q300" s="16" t="str">
        <f>IF(AND(Q$10&gt;=$D300,Q$11&lt;=$E300),VLOOKUP($F300,$K$2:AE$8,Q$1,"Falsch"),"")</f>
        <v/>
      </c>
      <c r="R300" s="16" t="str">
        <f>IF(AND(R$10&gt;=$D300,R$11&lt;=$E300),VLOOKUP($F300,$K$2:AF$8,R$1,"Falsch"),"")</f>
        <v/>
      </c>
      <c r="S300" s="16" t="str">
        <f>IF(AND(S$10&gt;=$D300,S$11&lt;=$E300),VLOOKUP($F300,$K$2:AG$8,S$1,"Falsch"),"")</f>
        <v/>
      </c>
      <c r="T300" s="16" t="str">
        <f>IF(AND(T$10&gt;=$D300,T$11&lt;=$E300),VLOOKUP($F300,$K$2:AH$8,T$1,"Falsch"),"")</f>
        <v/>
      </c>
      <c r="U300" s="16" t="str">
        <f>IF(AND(U$10&gt;=$D300,U$11&lt;=$E300),VLOOKUP($F300,$K$2:AI$8,U$1,"Falsch"),"")</f>
        <v/>
      </c>
      <c r="V300" s="16" t="str">
        <f>IF(AND(V$10&gt;=$D300,V$11&lt;=$E300),VLOOKUP($F300,$K$2:AJ$8,V$1,"Falsch"),"")</f>
        <v/>
      </c>
      <c r="W300" s="16" t="str">
        <f>IF(AND(W$10&gt;=$D300,W$11&lt;=$E300),VLOOKUP($F300,$K$2:AK$8,W$1,"Falsch"),"")</f>
        <v/>
      </c>
      <c r="X300" s="16" t="str">
        <f>IF(AND(X$10&gt;=$D300,X$11&lt;=$E300),VLOOKUP($F300,$K$2:AL$8,X$1,"Falsch"),"")</f>
        <v/>
      </c>
      <c r="Y300" s="16" t="str">
        <f>IF(AND(Y$10&gt;=$D300,Y$11&lt;=$E300),VLOOKUP($F300,$K$2:AM$8,Y$1,"Falsch"),"")</f>
        <v/>
      </c>
      <c r="Z300" s="16" t="str">
        <f>IF(AND(Z$10&gt;=$D300,Z$11&lt;=$E300),VLOOKUP($F300,$K$2:AN$8,Z$1,"Falsch"),"")</f>
        <v/>
      </c>
      <c r="AA300" s="16" t="str">
        <f>IF(AND(AA$10&gt;=$D300,AA$11&lt;=$E300),VLOOKUP($F300,$K$2:AO$8,AA$1,"Falsch"),"")</f>
        <v/>
      </c>
      <c r="AB300" s="16" t="str">
        <f>IF(AND(AB$10&gt;=$D300,AB$11&lt;=$E300),VLOOKUP($F300,$K$2:AP$8,AB$1,"Falsch"),"")</f>
        <v/>
      </c>
      <c r="AC300" s="16" t="str">
        <f>IF(AND(AC$10&gt;=$D300,AC$11&lt;=$E300),VLOOKUP($F300,$K$2:AQ$8,AC$1,"Falsch"),"")</f>
        <v/>
      </c>
      <c r="AD300" s="16" t="str">
        <f>IF(AND(AD$10&gt;=$D300,AD$11&lt;=$E300),VLOOKUP($F300,$K$2:AR$8,AD$1,"Falsch"),"")</f>
        <v/>
      </c>
    </row>
    <row r="301" spans="9:30" x14ac:dyDescent="0.25">
      <c r="I301" s="21">
        <f t="shared" si="39"/>
        <v>0</v>
      </c>
      <c r="K301" s="25">
        <f t="shared" si="38"/>
        <v>0</v>
      </c>
      <c r="L301" s="16" t="str">
        <f>IF(AND(L$10&gt;=$D301,L$11&lt;=$E301),VLOOKUP($F301,$K$2:Z$8,L$1,"Falsch"),"")</f>
        <v/>
      </c>
      <c r="M301" s="16" t="str">
        <f>IF(AND(M$10&gt;=$D301,M$11&lt;=$E301),VLOOKUP($F301,$K$2:AA$8,M$1,"Falsch"),"")</f>
        <v/>
      </c>
      <c r="N301" s="16" t="str">
        <f>IF(AND(N$10&gt;=$D301,N$11&lt;=$E301),VLOOKUP($F301,$K$2:AB$8,N$1,"Falsch"),"")</f>
        <v/>
      </c>
      <c r="O301" s="16" t="str">
        <f>IF(AND(O$10&gt;=$D301,O$11&lt;=$E301),VLOOKUP($F301,$K$2:AC$8,O$1,"Falsch"),"")</f>
        <v/>
      </c>
      <c r="P301" s="16" t="str">
        <f>IF(AND(P$10&gt;=$D301,P$11&lt;=$E301),VLOOKUP($F301,$K$2:AD$8,P$1,"Falsch"),"")</f>
        <v/>
      </c>
      <c r="Q301" s="16" t="str">
        <f>IF(AND(Q$10&gt;=$D301,Q$11&lt;=$E301),VLOOKUP($F301,$K$2:AE$8,Q$1,"Falsch"),"")</f>
        <v/>
      </c>
      <c r="R301" s="16" t="str">
        <f>IF(AND(R$10&gt;=$D301,R$11&lt;=$E301),VLOOKUP($F301,$K$2:AF$8,R$1,"Falsch"),"")</f>
        <v/>
      </c>
      <c r="S301" s="16" t="str">
        <f>IF(AND(S$10&gt;=$D301,S$11&lt;=$E301),VLOOKUP($F301,$K$2:AG$8,S$1,"Falsch"),"")</f>
        <v/>
      </c>
      <c r="T301" s="16" t="str">
        <f>IF(AND(T$10&gt;=$D301,T$11&lt;=$E301),VLOOKUP($F301,$K$2:AH$8,T$1,"Falsch"),"")</f>
        <v/>
      </c>
      <c r="U301" s="16" t="str">
        <f>IF(AND(U$10&gt;=$D301,U$11&lt;=$E301),VLOOKUP($F301,$K$2:AI$8,U$1,"Falsch"),"")</f>
        <v/>
      </c>
      <c r="V301" s="16" t="str">
        <f>IF(AND(V$10&gt;=$D301,V$11&lt;=$E301),VLOOKUP($F301,$K$2:AJ$8,V$1,"Falsch"),"")</f>
        <v/>
      </c>
      <c r="W301" s="16" t="str">
        <f>IF(AND(W$10&gt;=$D301,W$11&lt;=$E301),VLOOKUP($F301,$K$2:AK$8,W$1,"Falsch"),"")</f>
        <v/>
      </c>
      <c r="X301" s="16" t="str">
        <f>IF(AND(X$10&gt;=$D301,X$11&lt;=$E301),VLOOKUP($F301,$K$2:AL$8,X$1,"Falsch"),"")</f>
        <v/>
      </c>
      <c r="Y301" s="16" t="str">
        <f>IF(AND(Y$10&gt;=$D301,Y$11&lt;=$E301),VLOOKUP($F301,$K$2:AM$8,Y$1,"Falsch"),"")</f>
        <v/>
      </c>
      <c r="Z301" s="16" t="str">
        <f>IF(AND(Z$10&gt;=$D301,Z$11&lt;=$E301),VLOOKUP($F301,$K$2:AN$8,Z$1,"Falsch"),"")</f>
        <v/>
      </c>
      <c r="AA301" s="16" t="str">
        <f>IF(AND(AA$10&gt;=$D301,AA$11&lt;=$E301),VLOOKUP($F301,$K$2:AO$8,AA$1,"Falsch"),"")</f>
        <v/>
      </c>
      <c r="AB301" s="16" t="str">
        <f>IF(AND(AB$10&gt;=$D301,AB$11&lt;=$E301),VLOOKUP($F301,$K$2:AP$8,AB$1,"Falsch"),"")</f>
        <v/>
      </c>
      <c r="AC301" s="16" t="str">
        <f>IF(AND(AC$10&gt;=$D301,AC$11&lt;=$E301),VLOOKUP($F301,$K$2:AQ$8,AC$1,"Falsch"),"")</f>
        <v/>
      </c>
      <c r="AD301" s="16" t="str">
        <f>IF(AND(AD$10&gt;=$D301,AD$11&lt;=$E301),VLOOKUP($F301,$K$2:AR$8,AD$1,"Falsch"),"")</f>
        <v/>
      </c>
    </row>
    <row r="302" spans="9:30" x14ac:dyDescent="0.25">
      <c r="I302" s="21">
        <f t="shared" si="39"/>
        <v>0</v>
      </c>
      <c r="K302" s="25">
        <f t="shared" si="38"/>
        <v>0</v>
      </c>
      <c r="L302" s="16" t="str">
        <f>IF(AND(L$10&gt;=$D302,L$11&lt;=$E302),VLOOKUP($F302,$K$2:Z$8,L$1,"Falsch"),"")</f>
        <v/>
      </c>
      <c r="M302" s="16" t="str">
        <f>IF(AND(M$10&gt;=$D302,M$11&lt;=$E302),VLOOKUP($F302,$K$2:AA$8,M$1,"Falsch"),"")</f>
        <v/>
      </c>
      <c r="N302" s="16" t="str">
        <f>IF(AND(N$10&gt;=$D302,N$11&lt;=$E302),VLOOKUP($F302,$K$2:AB$8,N$1,"Falsch"),"")</f>
        <v/>
      </c>
      <c r="O302" s="16" t="str">
        <f>IF(AND(O$10&gt;=$D302,O$11&lt;=$E302),VLOOKUP($F302,$K$2:AC$8,O$1,"Falsch"),"")</f>
        <v/>
      </c>
      <c r="P302" s="16" t="str">
        <f>IF(AND(P$10&gt;=$D302,P$11&lt;=$E302),VLOOKUP($F302,$K$2:AD$8,P$1,"Falsch"),"")</f>
        <v/>
      </c>
      <c r="Q302" s="16" t="str">
        <f>IF(AND(Q$10&gt;=$D302,Q$11&lt;=$E302),VLOOKUP($F302,$K$2:AE$8,Q$1,"Falsch"),"")</f>
        <v/>
      </c>
      <c r="R302" s="16" t="str">
        <f>IF(AND(R$10&gt;=$D302,R$11&lt;=$E302),VLOOKUP($F302,$K$2:AF$8,R$1,"Falsch"),"")</f>
        <v/>
      </c>
      <c r="S302" s="16" t="str">
        <f>IF(AND(S$10&gt;=$D302,S$11&lt;=$E302),VLOOKUP($F302,$K$2:AG$8,S$1,"Falsch"),"")</f>
        <v/>
      </c>
      <c r="T302" s="16" t="str">
        <f>IF(AND(T$10&gt;=$D302,T$11&lt;=$E302),VLOOKUP($F302,$K$2:AH$8,T$1,"Falsch"),"")</f>
        <v/>
      </c>
      <c r="U302" s="16" t="str">
        <f>IF(AND(U$10&gt;=$D302,U$11&lt;=$E302),VLOOKUP($F302,$K$2:AI$8,U$1,"Falsch"),"")</f>
        <v/>
      </c>
      <c r="V302" s="16" t="str">
        <f>IF(AND(V$10&gt;=$D302,V$11&lt;=$E302),VLOOKUP($F302,$K$2:AJ$8,V$1,"Falsch"),"")</f>
        <v/>
      </c>
      <c r="W302" s="16" t="str">
        <f>IF(AND(W$10&gt;=$D302,W$11&lt;=$E302),VLOOKUP($F302,$K$2:AK$8,W$1,"Falsch"),"")</f>
        <v/>
      </c>
      <c r="X302" s="16" t="str">
        <f>IF(AND(X$10&gt;=$D302,X$11&lt;=$E302),VLOOKUP($F302,$K$2:AL$8,X$1,"Falsch"),"")</f>
        <v/>
      </c>
      <c r="Y302" s="16" t="str">
        <f>IF(AND(Y$10&gt;=$D302,Y$11&lt;=$E302),VLOOKUP($F302,$K$2:AM$8,Y$1,"Falsch"),"")</f>
        <v/>
      </c>
      <c r="Z302" s="16" t="str">
        <f>IF(AND(Z$10&gt;=$D302,Z$11&lt;=$E302),VLOOKUP($F302,$K$2:AN$8,Z$1,"Falsch"),"")</f>
        <v/>
      </c>
      <c r="AA302" s="16" t="str">
        <f>IF(AND(AA$10&gt;=$D302,AA$11&lt;=$E302),VLOOKUP($F302,$K$2:AO$8,AA$1,"Falsch"),"")</f>
        <v/>
      </c>
      <c r="AB302" s="16" t="str">
        <f>IF(AND(AB$10&gt;=$D302,AB$11&lt;=$E302),VLOOKUP($F302,$K$2:AP$8,AB$1,"Falsch"),"")</f>
        <v/>
      </c>
      <c r="AC302" s="16" t="str">
        <f>IF(AND(AC$10&gt;=$D302,AC$11&lt;=$E302),VLOOKUP($F302,$K$2:AQ$8,AC$1,"Falsch"),"")</f>
        <v/>
      </c>
      <c r="AD302" s="16" t="str">
        <f>IF(AND(AD$10&gt;=$D302,AD$11&lt;=$E302),VLOOKUP($F302,$K$2:AR$8,AD$1,"Falsch"),"")</f>
        <v/>
      </c>
    </row>
    <row r="303" spans="9:30" x14ac:dyDescent="0.25">
      <c r="I303" s="21">
        <f t="shared" si="39"/>
        <v>0</v>
      </c>
      <c r="K303" s="25">
        <f t="shared" si="38"/>
        <v>0</v>
      </c>
      <c r="L303" s="16" t="str">
        <f>IF(AND(L$10&gt;=$D303,L$11&lt;=$E303),VLOOKUP($F303,$K$2:Z$8,L$1,"Falsch"),"")</f>
        <v/>
      </c>
      <c r="M303" s="16" t="str">
        <f>IF(AND(M$10&gt;=$D303,M$11&lt;=$E303),VLOOKUP($F303,$K$2:AA$8,M$1,"Falsch"),"")</f>
        <v/>
      </c>
      <c r="N303" s="16" t="str">
        <f>IF(AND(N$10&gt;=$D303,N$11&lt;=$E303),VLOOKUP($F303,$K$2:AB$8,N$1,"Falsch"),"")</f>
        <v/>
      </c>
      <c r="O303" s="16" t="str">
        <f>IF(AND(O$10&gt;=$D303,O$11&lt;=$E303),VLOOKUP($F303,$K$2:AC$8,O$1,"Falsch"),"")</f>
        <v/>
      </c>
      <c r="P303" s="16" t="str">
        <f>IF(AND(P$10&gt;=$D303,P$11&lt;=$E303),VLOOKUP($F303,$K$2:AD$8,P$1,"Falsch"),"")</f>
        <v/>
      </c>
      <c r="Q303" s="16" t="str">
        <f>IF(AND(Q$10&gt;=$D303,Q$11&lt;=$E303),VLOOKUP($F303,$K$2:AE$8,Q$1,"Falsch"),"")</f>
        <v/>
      </c>
      <c r="R303" s="16" t="str">
        <f>IF(AND(R$10&gt;=$D303,R$11&lt;=$E303),VLOOKUP($F303,$K$2:AF$8,R$1,"Falsch"),"")</f>
        <v/>
      </c>
      <c r="S303" s="16" t="str">
        <f>IF(AND(S$10&gt;=$D303,S$11&lt;=$E303),VLOOKUP($F303,$K$2:AG$8,S$1,"Falsch"),"")</f>
        <v/>
      </c>
      <c r="T303" s="16" t="str">
        <f>IF(AND(T$10&gt;=$D303,T$11&lt;=$E303),VLOOKUP($F303,$K$2:AH$8,T$1,"Falsch"),"")</f>
        <v/>
      </c>
      <c r="U303" s="16" t="str">
        <f>IF(AND(U$10&gt;=$D303,U$11&lt;=$E303),VLOOKUP($F303,$K$2:AI$8,U$1,"Falsch"),"")</f>
        <v/>
      </c>
      <c r="V303" s="16" t="str">
        <f>IF(AND(V$10&gt;=$D303,V$11&lt;=$E303),VLOOKUP($F303,$K$2:AJ$8,V$1,"Falsch"),"")</f>
        <v/>
      </c>
      <c r="W303" s="16" t="str">
        <f>IF(AND(W$10&gt;=$D303,W$11&lt;=$E303),VLOOKUP($F303,$K$2:AK$8,W$1,"Falsch"),"")</f>
        <v/>
      </c>
      <c r="X303" s="16" t="str">
        <f>IF(AND(X$10&gt;=$D303,X$11&lt;=$E303),VLOOKUP($F303,$K$2:AL$8,X$1,"Falsch"),"")</f>
        <v/>
      </c>
      <c r="Y303" s="16" t="str">
        <f>IF(AND(Y$10&gt;=$D303,Y$11&lt;=$E303),VLOOKUP($F303,$K$2:AM$8,Y$1,"Falsch"),"")</f>
        <v/>
      </c>
      <c r="Z303" s="16" t="str">
        <f>IF(AND(Z$10&gt;=$D303,Z$11&lt;=$E303),VLOOKUP($F303,$K$2:AN$8,Z$1,"Falsch"),"")</f>
        <v/>
      </c>
      <c r="AA303" s="16" t="str">
        <f>IF(AND(AA$10&gt;=$D303,AA$11&lt;=$E303),VLOOKUP($F303,$K$2:AO$8,AA$1,"Falsch"),"")</f>
        <v/>
      </c>
      <c r="AB303" s="16" t="str">
        <f>IF(AND(AB$10&gt;=$D303,AB$11&lt;=$E303),VLOOKUP($F303,$K$2:AP$8,AB$1,"Falsch"),"")</f>
        <v/>
      </c>
      <c r="AC303" s="16" t="str">
        <f>IF(AND(AC$10&gt;=$D303,AC$11&lt;=$E303),VLOOKUP($F303,$K$2:AQ$8,AC$1,"Falsch"),"")</f>
        <v/>
      </c>
      <c r="AD303" s="16" t="str">
        <f>IF(AND(AD$10&gt;=$D303,AD$11&lt;=$E303),VLOOKUP($F303,$K$2:AR$8,AD$1,"Falsch"),"")</f>
        <v/>
      </c>
    </row>
    <row r="304" spans="9:30" x14ac:dyDescent="0.25">
      <c r="I304" s="21">
        <f t="shared" si="39"/>
        <v>0</v>
      </c>
      <c r="K304" s="25">
        <f t="shared" si="38"/>
        <v>0</v>
      </c>
      <c r="L304" s="16" t="str">
        <f>IF(AND(L$10&gt;=$D304,L$11&lt;=$E304),VLOOKUP($F304,$K$2:Z$8,L$1,"Falsch"),"")</f>
        <v/>
      </c>
      <c r="M304" s="16" t="str">
        <f>IF(AND(M$10&gt;=$D304,M$11&lt;=$E304),VLOOKUP($F304,$K$2:AA$8,M$1,"Falsch"),"")</f>
        <v/>
      </c>
      <c r="N304" s="16" t="str">
        <f>IF(AND(N$10&gt;=$D304,N$11&lt;=$E304),VLOOKUP($F304,$K$2:AB$8,N$1,"Falsch"),"")</f>
        <v/>
      </c>
      <c r="O304" s="16" t="str">
        <f>IF(AND(O$10&gt;=$D304,O$11&lt;=$E304),VLOOKUP($F304,$K$2:AC$8,O$1,"Falsch"),"")</f>
        <v/>
      </c>
      <c r="P304" s="16" t="str">
        <f>IF(AND(P$10&gt;=$D304,P$11&lt;=$E304),VLOOKUP($F304,$K$2:AD$8,P$1,"Falsch"),"")</f>
        <v/>
      </c>
      <c r="Q304" s="16" t="str">
        <f>IF(AND(Q$10&gt;=$D304,Q$11&lt;=$E304),VLOOKUP($F304,$K$2:AE$8,Q$1,"Falsch"),"")</f>
        <v/>
      </c>
      <c r="R304" s="16" t="str">
        <f>IF(AND(R$10&gt;=$D304,R$11&lt;=$E304),VLOOKUP($F304,$K$2:AF$8,R$1,"Falsch"),"")</f>
        <v/>
      </c>
      <c r="S304" s="16" t="str">
        <f>IF(AND(S$10&gt;=$D304,S$11&lt;=$E304),VLOOKUP($F304,$K$2:AG$8,S$1,"Falsch"),"")</f>
        <v/>
      </c>
      <c r="T304" s="16" t="str">
        <f>IF(AND(T$10&gt;=$D304,T$11&lt;=$E304),VLOOKUP($F304,$K$2:AH$8,T$1,"Falsch"),"")</f>
        <v/>
      </c>
      <c r="U304" s="16" t="str">
        <f>IF(AND(U$10&gt;=$D304,U$11&lt;=$E304),VLOOKUP($F304,$K$2:AI$8,U$1,"Falsch"),"")</f>
        <v/>
      </c>
      <c r="V304" s="16" t="str">
        <f>IF(AND(V$10&gt;=$D304,V$11&lt;=$E304),VLOOKUP($F304,$K$2:AJ$8,V$1,"Falsch"),"")</f>
        <v/>
      </c>
      <c r="W304" s="16" t="str">
        <f>IF(AND(W$10&gt;=$D304,W$11&lt;=$E304),VLOOKUP($F304,$K$2:AK$8,W$1,"Falsch"),"")</f>
        <v/>
      </c>
      <c r="X304" s="16" t="str">
        <f>IF(AND(X$10&gt;=$D304,X$11&lt;=$E304),VLOOKUP($F304,$K$2:AL$8,X$1,"Falsch"),"")</f>
        <v/>
      </c>
      <c r="Y304" s="16" t="str">
        <f>IF(AND(Y$10&gt;=$D304,Y$11&lt;=$E304),VLOOKUP($F304,$K$2:AM$8,Y$1,"Falsch"),"")</f>
        <v/>
      </c>
      <c r="Z304" s="16" t="str">
        <f>IF(AND(Z$10&gt;=$D304,Z$11&lt;=$E304),VLOOKUP($F304,$K$2:AN$8,Z$1,"Falsch"),"")</f>
        <v/>
      </c>
      <c r="AA304" s="16" t="str">
        <f>IF(AND(AA$10&gt;=$D304,AA$11&lt;=$E304),VLOOKUP($F304,$K$2:AO$8,AA$1,"Falsch"),"")</f>
        <v/>
      </c>
      <c r="AB304" s="16" t="str">
        <f>IF(AND(AB$10&gt;=$D304,AB$11&lt;=$E304),VLOOKUP($F304,$K$2:AP$8,AB$1,"Falsch"),"")</f>
        <v/>
      </c>
      <c r="AC304" s="16" t="str">
        <f>IF(AND(AC$10&gt;=$D304,AC$11&lt;=$E304),VLOOKUP($F304,$K$2:AQ$8,AC$1,"Falsch"),"")</f>
        <v/>
      </c>
      <c r="AD304" s="16" t="str">
        <f>IF(AND(AD$10&gt;=$D304,AD$11&lt;=$E304),VLOOKUP($F304,$K$2:AR$8,AD$1,"Falsch"),"")</f>
        <v/>
      </c>
    </row>
    <row r="305" spans="9:30" x14ac:dyDescent="0.25">
      <c r="I305" s="21">
        <f t="shared" si="39"/>
        <v>0</v>
      </c>
      <c r="K305" s="25">
        <f t="shared" si="38"/>
        <v>0</v>
      </c>
      <c r="L305" s="16" t="str">
        <f>IF(AND(L$10&gt;=$D305,L$11&lt;=$E305),VLOOKUP($F305,$K$2:Z$8,L$1,"Falsch"),"")</f>
        <v/>
      </c>
      <c r="M305" s="16" t="str">
        <f>IF(AND(M$10&gt;=$D305,M$11&lt;=$E305),VLOOKUP($F305,$K$2:AA$8,M$1,"Falsch"),"")</f>
        <v/>
      </c>
      <c r="N305" s="16" t="str">
        <f>IF(AND(N$10&gt;=$D305,N$11&lt;=$E305),VLOOKUP($F305,$K$2:AB$8,N$1,"Falsch"),"")</f>
        <v/>
      </c>
      <c r="O305" s="16" t="str">
        <f>IF(AND(O$10&gt;=$D305,O$11&lt;=$E305),VLOOKUP($F305,$K$2:AC$8,O$1,"Falsch"),"")</f>
        <v/>
      </c>
      <c r="P305" s="16" t="str">
        <f>IF(AND(P$10&gt;=$D305,P$11&lt;=$E305),VLOOKUP($F305,$K$2:AD$8,P$1,"Falsch"),"")</f>
        <v/>
      </c>
      <c r="Q305" s="16" t="str">
        <f>IF(AND(Q$10&gt;=$D305,Q$11&lt;=$E305),VLOOKUP($F305,$K$2:AE$8,Q$1,"Falsch"),"")</f>
        <v/>
      </c>
      <c r="R305" s="16" t="str">
        <f>IF(AND(R$10&gt;=$D305,R$11&lt;=$E305),VLOOKUP($F305,$K$2:AF$8,R$1,"Falsch"),"")</f>
        <v/>
      </c>
      <c r="S305" s="16" t="str">
        <f>IF(AND(S$10&gt;=$D305,S$11&lt;=$E305),VLOOKUP($F305,$K$2:AG$8,S$1,"Falsch"),"")</f>
        <v/>
      </c>
      <c r="T305" s="16" t="str">
        <f>IF(AND(T$10&gt;=$D305,T$11&lt;=$E305),VLOOKUP($F305,$K$2:AH$8,T$1,"Falsch"),"")</f>
        <v/>
      </c>
      <c r="U305" s="16" t="str">
        <f>IF(AND(U$10&gt;=$D305,U$11&lt;=$E305),VLOOKUP($F305,$K$2:AI$8,U$1,"Falsch"),"")</f>
        <v/>
      </c>
      <c r="V305" s="16" t="str">
        <f>IF(AND(V$10&gt;=$D305,V$11&lt;=$E305),VLOOKUP($F305,$K$2:AJ$8,V$1,"Falsch"),"")</f>
        <v/>
      </c>
      <c r="W305" s="16" t="str">
        <f>IF(AND(W$10&gt;=$D305,W$11&lt;=$E305),VLOOKUP($F305,$K$2:AK$8,W$1,"Falsch"),"")</f>
        <v/>
      </c>
      <c r="X305" s="16" t="str">
        <f>IF(AND(X$10&gt;=$D305,X$11&lt;=$E305),VLOOKUP($F305,$K$2:AL$8,X$1,"Falsch"),"")</f>
        <v/>
      </c>
      <c r="Y305" s="16" t="str">
        <f>IF(AND(Y$10&gt;=$D305,Y$11&lt;=$E305),VLOOKUP($F305,$K$2:AM$8,Y$1,"Falsch"),"")</f>
        <v/>
      </c>
      <c r="Z305" s="16" t="str">
        <f>IF(AND(Z$10&gt;=$D305,Z$11&lt;=$E305),VLOOKUP($F305,$K$2:AN$8,Z$1,"Falsch"),"")</f>
        <v/>
      </c>
      <c r="AA305" s="16" t="str">
        <f>IF(AND(AA$10&gt;=$D305,AA$11&lt;=$E305),VLOOKUP($F305,$K$2:AO$8,AA$1,"Falsch"),"")</f>
        <v/>
      </c>
      <c r="AB305" s="16" t="str">
        <f>IF(AND(AB$10&gt;=$D305,AB$11&lt;=$E305),VLOOKUP($F305,$K$2:AP$8,AB$1,"Falsch"),"")</f>
        <v/>
      </c>
      <c r="AC305" s="16" t="str">
        <f>IF(AND(AC$10&gt;=$D305,AC$11&lt;=$E305),VLOOKUP($F305,$K$2:AQ$8,AC$1,"Falsch"),"")</f>
        <v/>
      </c>
      <c r="AD305" s="16" t="str">
        <f>IF(AND(AD$10&gt;=$D305,AD$11&lt;=$E305),VLOOKUP($F305,$K$2:AR$8,AD$1,"Falsch"),"")</f>
        <v/>
      </c>
    </row>
    <row r="306" spans="9:30" x14ac:dyDescent="0.25">
      <c r="I306" s="21">
        <f t="shared" si="39"/>
        <v>0</v>
      </c>
      <c r="K306" s="25">
        <f t="shared" si="38"/>
        <v>0</v>
      </c>
      <c r="L306" s="16" t="str">
        <f>IF(AND(L$10&gt;=$D306,L$11&lt;=$E306),VLOOKUP($F306,$K$2:Z$8,L$1,"Falsch"),"")</f>
        <v/>
      </c>
      <c r="M306" s="16" t="str">
        <f>IF(AND(M$10&gt;=$D306,M$11&lt;=$E306),VLOOKUP($F306,$K$2:AA$8,M$1,"Falsch"),"")</f>
        <v/>
      </c>
      <c r="N306" s="16" t="str">
        <f>IF(AND(N$10&gt;=$D306,N$11&lt;=$E306),VLOOKUP($F306,$K$2:AB$8,N$1,"Falsch"),"")</f>
        <v/>
      </c>
      <c r="O306" s="16" t="str">
        <f>IF(AND(O$10&gt;=$D306,O$11&lt;=$E306),VLOOKUP($F306,$K$2:AC$8,O$1,"Falsch"),"")</f>
        <v/>
      </c>
      <c r="P306" s="16" t="str">
        <f>IF(AND(P$10&gt;=$D306,P$11&lt;=$E306),VLOOKUP($F306,$K$2:AD$8,P$1,"Falsch"),"")</f>
        <v/>
      </c>
      <c r="Q306" s="16" t="str">
        <f>IF(AND(Q$10&gt;=$D306,Q$11&lt;=$E306),VLOOKUP($F306,$K$2:AE$8,Q$1,"Falsch"),"")</f>
        <v/>
      </c>
      <c r="R306" s="16" t="str">
        <f>IF(AND(R$10&gt;=$D306,R$11&lt;=$E306),VLOOKUP($F306,$K$2:AF$8,R$1,"Falsch"),"")</f>
        <v/>
      </c>
      <c r="S306" s="16" t="str">
        <f>IF(AND(S$10&gt;=$D306,S$11&lt;=$E306),VLOOKUP($F306,$K$2:AG$8,S$1,"Falsch"),"")</f>
        <v/>
      </c>
      <c r="T306" s="16" t="str">
        <f>IF(AND(T$10&gt;=$D306,T$11&lt;=$E306),VLOOKUP($F306,$K$2:AH$8,T$1,"Falsch"),"")</f>
        <v/>
      </c>
      <c r="U306" s="16" t="str">
        <f>IF(AND(U$10&gt;=$D306,U$11&lt;=$E306),VLOOKUP($F306,$K$2:AI$8,U$1,"Falsch"),"")</f>
        <v/>
      </c>
      <c r="V306" s="16" t="str">
        <f>IF(AND(V$10&gt;=$D306,V$11&lt;=$E306),VLOOKUP($F306,$K$2:AJ$8,V$1,"Falsch"),"")</f>
        <v/>
      </c>
      <c r="W306" s="16" t="str">
        <f>IF(AND(W$10&gt;=$D306,W$11&lt;=$E306),VLOOKUP($F306,$K$2:AK$8,W$1,"Falsch"),"")</f>
        <v/>
      </c>
      <c r="X306" s="16" t="str">
        <f>IF(AND(X$10&gt;=$D306,X$11&lt;=$E306),VLOOKUP($F306,$K$2:AL$8,X$1,"Falsch"),"")</f>
        <v/>
      </c>
      <c r="Y306" s="16" t="str">
        <f>IF(AND(Y$10&gt;=$D306,Y$11&lt;=$E306),VLOOKUP($F306,$K$2:AM$8,Y$1,"Falsch"),"")</f>
        <v/>
      </c>
      <c r="Z306" s="16" t="str">
        <f>IF(AND(Z$10&gt;=$D306,Z$11&lt;=$E306),VLOOKUP($F306,$K$2:AN$8,Z$1,"Falsch"),"")</f>
        <v/>
      </c>
      <c r="AA306" s="16" t="str">
        <f>IF(AND(AA$10&gt;=$D306,AA$11&lt;=$E306),VLOOKUP($F306,$K$2:AO$8,AA$1,"Falsch"),"")</f>
        <v/>
      </c>
      <c r="AB306" s="16" t="str">
        <f>IF(AND(AB$10&gt;=$D306,AB$11&lt;=$E306),VLOOKUP($F306,$K$2:AP$8,AB$1,"Falsch"),"")</f>
        <v/>
      </c>
      <c r="AC306" s="16" t="str">
        <f>IF(AND(AC$10&gt;=$D306,AC$11&lt;=$E306),VLOOKUP($F306,$K$2:AQ$8,AC$1,"Falsch"),"")</f>
        <v/>
      </c>
      <c r="AD306" s="16" t="str">
        <f>IF(AND(AD$10&gt;=$D306,AD$11&lt;=$E306),VLOOKUP($F306,$K$2:AR$8,AD$1,"Falsch"),"")</f>
        <v/>
      </c>
    </row>
    <row r="307" spans="9:30" x14ac:dyDescent="0.25">
      <c r="I307" s="21">
        <f t="shared" si="39"/>
        <v>0</v>
      </c>
      <c r="K307" s="25">
        <f t="shared" si="38"/>
        <v>0</v>
      </c>
      <c r="L307" s="16" t="str">
        <f>IF(AND(L$10&gt;=$D307,L$11&lt;=$E307),VLOOKUP($F307,$K$2:Z$8,L$1,"Falsch"),"")</f>
        <v/>
      </c>
      <c r="M307" s="16" t="str">
        <f>IF(AND(M$10&gt;=$D307,M$11&lt;=$E307),VLOOKUP($F307,$K$2:AA$8,M$1,"Falsch"),"")</f>
        <v/>
      </c>
      <c r="N307" s="16" t="str">
        <f>IF(AND(N$10&gt;=$D307,N$11&lt;=$E307),VLOOKUP($F307,$K$2:AB$8,N$1,"Falsch"),"")</f>
        <v/>
      </c>
      <c r="O307" s="16" t="str">
        <f>IF(AND(O$10&gt;=$D307,O$11&lt;=$E307),VLOOKUP($F307,$K$2:AC$8,O$1,"Falsch"),"")</f>
        <v/>
      </c>
      <c r="P307" s="16" t="str">
        <f>IF(AND(P$10&gt;=$D307,P$11&lt;=$E307),VLOOKUP($F307,$K$2:AD$8,P$1,"Falsch"),"")</f>
        <v/>
      </c>
      <c r="Q307" s="16" t="str">
        <f>IF(AND(Q$10&gt;=$D307,Q$11&lt;=$E307),VLOOKUP($F307,$K$2:AE$8,Q$1,"Falsch"),"")</f>
        <v/>
      </c>
      <c r="R307" s="16" t="str">
        <f>IF(AND(R$10&gt;=$D307,R$11&lt;=$E307),VLOOKUP($F307,$K$2:AF$8,R$1,"Falsch"),"")</f>
        <v/>
      </c>
      <c r="S307" s="16" t="str">
        <f>IF(AND(S$10&gt;=$D307,S$11&lt;=$E307),VLOOKUP($F307,$K$2:AG$8,S$1,"Falsch"),"")</f>
        <v/>
      </c>
      <c r="T307" s="16" t="str">
        <f>IF(AND(T$10&gt;=$D307,T$11&lt;=$E307),VLOOKUP($F307,$K$2:AH$8,T$1,"Falsch"),"")</f>
        <v/>
      </c>
      <c r="U307" s="16" t="str">
        <f>IF(AND(U$10&gt;=$D307,U$11&lt;=$E307),VLOOKUP($F307,$K$2:AI$8,U$1,"Falsch"),"")</f>
        <v/>
      </c>
      <c r="V307" s="16" t="str">
        <f>IF(AND(V$10&gt;=$D307,V$11&lt;=$E307),VLOOKUP($F307,$K$2:AJ$8,V$1,"Falsch"),"")</f>
        <v/>
      </c>
      <c r="W307" s="16" t="str">
        <f>IF(AND(W$10&gt;=$D307,W$11&lt;=$E307),VLOOKUP($F307,$K$2:AK$8,W$1,"Falsch"),"")</f>
        <v/>
      </c>
      <c r="X307" s="16" t="str">
        <f>IF(AND(X$10&gt;=$D307,X$11&lt;=$E307),VLOOKUP($F307,$K$2:AL$8,X$1,"Falsch"),"")</f>
        <v/>
      </c>
      <c r="Y307" s="16" t="str">
        <f>IF(AND(Y$10&gt;=$D307,Y$11&lt;=$E307),VLOOKUP($F307,$K$2:AM$8,Y$1,"Falsch"),"")</f>
        <v/>
      </c>
      <c r="Z307" s="16" t="str">
        <f>IF(AND(Z$10&gt;=$D307,Z$11&lt;=$E307),VLOOKUP($F307,$K$2:AN$8,Z$1,"Falsch"),"")</f>
        <v/>
      </c>
      <c r="AA307" s="16" t="str">
        <f>IF(AND(AA$10&gt;=$D307,AA$11&lt;=$E307),VLOOKUP($F307,$K$2:AO$8,AA$1,"Falsch"),"")</f>
        <v/>
      </c>
      <c r="AB307" s="16" t="str">
        <f>IF(AND(AB$10&gt;=$D307,AB$11&lt;=$E307),VLOOKUP($F307,$K$2:AP$8,AB$1,"Falsch"),"")</f>
        <v/>
      </c>
      <c r="AC307" s="16" t="str">
        <f>IF(AND(AC$10&gt;=$D307,AC$11&lt;=$E307),VLOOKUP($F307,$K$2:AQ$8,AC$1,"Falsch"),"")</f>
        <v/>
      </c>
      <c r="AD307" s="16" t="str">
        <f>IF(AND(AD$10&gt;=$D307,AD$11&lt;=$E307),VLOOKUP($F307,$K$2:AR$8,AD$1,"Falsch"),"")</f>
        <v/>
      </c>
    </row>
    <row r="308" spans="9:30" x14ac:dyDescent="0.25">
      <c r="I308" s="21">
        <f t="shared" si="39"/>
        <v>0</v>
      </c>
      <c r="K308" s="25">
        <f t="shared" si="38"/>
        <v>0</v>
      </c>
      <c r="L308" s="16" t="str">
        <f>IF(AND(L$10&gt;=$D308,L$11&lt;=$E308),VLOOKUP($F308,$K$2:Z$8,L$1,"Falsch"),"")</f>
        <v/>
      </c>
      <c r="M308" s="16" t="str">
        <f>IF(AND(M$10&gt;=$D308,M$11&lt;=$E308),VLOOKUP($F308,$K$2:AA$8,M$1,"Falsch"),"")</f>
        <v/>
      </c>
      <c r="N308" s="16" t="str">
        <f>IF(AND(N$10&gt;=$D308,N$11&lt;=$E308),VLOOKUP($F308,$K$2:AB$8,N$1,"Falsch"),"")</f>
        <v/>
      </c>
      <c r="O308" s="16" t="str">
        <f>IF(AND(O$10&gt;=$D308,O$11&lt;=$E308),VLOOKUP($F308,$K$2:AC$8,O$1,"Falsch"),"")</f>
        <v/>
      </c>
      <c r="P308" s="16" t="str">
        <f>IF(AND(P$10&gt;=$D308,P$11&lt;=$E308),VLOOKUP($F308,$K$2:AD$8,P$1,"Falsch"),"")</f>
        <v/>
      </c>
      <c r="Q308" s="16" t="str">
        <f>IF(AND(Q$10&gt;=$D308,Q$11&lt;=$E308),VLOOKUP($F308,$K$2:AE$8,Q$1,"Falsch"),"")</f>
        <v/>
      </c>
      <c r="R308" s="16" t="str">
        <f>IF(AND(R$10&gt;=$D308,R$11&lt;=$E308),VLOOKUP($F308,$K$2:AF$8,R$1,"Falsch"),"")</f>
        <v/>
      </c>
      <c r="S308" s="16" t="str">
        <f>IF(AND(S$10&gt;=$D308,S$11&lt;=$E308),VLOOKUP($F308,$K$2:AG$8,S$1,"Falsch"),"")</f>
        <v/>
      </c>
      <c r="T308" s="16" t="str">
        <f>IF(AND(T$10&gt;=$D308,T$11&lt;=$E308),VLOOKUP($F308,$K$2:AH$8,T$1,"Falsch"),"")</f>
        <v/>
      </c>
      <c r="U308" s="16" t="str">
        <f>IF(AND(U$10&gt;=$D308,U$11&lt;=$E308),VLOOKUP($F308,$K$2:AI$8,U$1,"Falsch"),"")</f>
        <v/>
      </c>
      <c r="V308" s="16" t="str">
        <f>IF(AND(V$10&gt;=$D308,V$11&lt;=$E308),VLOOKUP($F308,$K$2:AJ$8,V$1,"Falsch"),"")</f>
        <v/>
      </c>
      <c r="W308" s="16" t="str">
        <f>IF(AND(W$10&gt;=$D308,W$11&lt;=$E308),VLOOKUP($F308,$K$2:AK$8,W$1,"Falsch"),"")</f>
        <v/>
      </c>
      <c r="X308" s="16" t="str">
        <f>IF(AND(X$10&gt;=$D308,X$11&lt;=$E308),VLOOKUP($F308,$K$2:AL$8,X$1,"Falsch"),"")</f>
        <v/>
      </c>
      <c r="Y308" s="16" t="str">
        <f>IF(AND(Y$10&gt;=$D308,Y$11&lt;=$E308),VLOOKUP($F308,$K$2:AM$8,Y$1,"Falsch"),"")</f>
        <v/>
      </c>
      <c r="Z308" s="16" t="str">
        <f>IF(AND(Z$10&gt;=$D308,Z$11&lt;=$E308),VLOOKUP($F308,$K$2:AN$8,Z$1,"Falsch"),"")</f>
        <v/>
      </c>
      <c r="AA308" s="16" t="str">
        <f>IF(AND(AA$10&gt;=$D308,AA$11&lt;=$E308),VLOOKUP($F308,$K$2:AO$8,AA$1,"Falsch"),"")</f>
        <v/>
      </c>
      <c r="AB308" s="16" t="str">
        <f>IF(AND(AB$10&gt;=$D308,AB$11&lt;=$E308),VLOOKUP($F308,$K$2:AP$8,AB$1,"Falsch"),"")</f>
        <v/>
      </c>
      <c r="AC308" s="16" t="str">
        <f>IF(AND(AC$10&gt;=$D308,AC$11&lt;=$E308),VLOOKUP($F308,$K$2:AQ$8,AC$1,"Falsch"),"")</f>
        <v/>
      </c>
      <c r="AD308" s="16" t="str">
        <f>IF(AND(AD$10&gt;=$D308,AD$11&lt;=$E308),VLOOKUP($F308,$K$2:AR$8,AD$1,"Falsch"),"")</f>
        <v/>
      </c>
    </row>
    <row r="309" spans="9:30" x14ac:dyDescent="0.25">
      <c r="I309" s="21">
        <f t="shared" si="39"/>
        <v>0</v>
      </c>
      <c r="K309" s="25">
        <f t="shared" si="38"/>
        <v>0</v>
      </c>
      <c r="L309" s="16" t="str">
        <f>IF(AND(L$10&gt;=$D309,L$11&lt;=$E309),VLOOKUP($F309,$K$2:Z$8,L$1,"Falsch"),"")</f>
        <v/>
      </c>
      <c r="M309" s="16" t="str">
        <f>IF(AND(M$10&gt;=$D309,M$11&lt;=$E309),VLOOKUP($F309,$K$2:AA$8,M$1,"Falsch"),"")</f>
        <v/>
      </c>
      <c r="N309" s="16" t="str">
        <f>IF(AND(N$10&gt;=$D309,N$11&lt;=$E309),VLOOKUP($F309,$K$2:AB$8,N$1,"Falsch"),"")</f>
        <v/>
      </c>
      <c r="O309" s="16" t="str">
        <f>IF(AND(O$10&gt;=$D309,O$11&lt;=$E309),VLOOKUP($F309,$K$2:AC$8,O$1,"Falsch"),"")</f>
        <v/>
      </c>
      <c r="P309" s="16" t="str">
        <f>IF(AND(P$10&gt;=$D309,P$11&lt;=$E309),VLOOKUP($F309,$K$2:AD$8,P$1,"Falsch"),"")</f>
        <v/>
      </c>
      <c r="Q309" s="16" t="str">
        <f>IF(AND(Q$10&gt;=$D309,Q$11&lt;=$E309),VLOOKUP($F309,$K$2:AE$8,Q$1,"Falsch"),"")</f>
        <v/>
      </c>
      <c r="R309" s="16" t="str">
        <f>IF(AND(R$10&gt;=$D309,R$11&lt;=$E309),VLOOKUP($F309,$K$2:AF$8,R$1,"Falsch"),"")</f>
        <v/>
      </c>
      <c r="S309" s="16" t="str">
        <f>IF(AND(S$10&gt;=$D309,S$11&lt;=$E309),VLOOKUP($F309,$K$2:AG$8,S$1,"Falsch"),"")</f>
        <v/>
      </c>
      <c r="T309" s="16" t="str">
        <f>IF(AND(T$10&gt;=$D309,T$11&lt;=$E309),VLOOKUP($F309,$K$2:AH$8,T$1,"Falsch"),"")</f>
        <v/>
      </c>
      <c r="U309" s="16" t="str">
        <f>IF(AND(U$10&gt;=$D309,U$11&lt;=$E309),VLOOKUP($F309,$K$2:AI$8,U$1,"Falsch"),"")</f>
        <v/>
      </c>
      <c r="V309" s="16" t="str">
        <f>IF(AND(V$10&gt;=$D309,V$11&lt;=$E309),VLOOKUP($F309,$K$2:AJ$8,V$1,"Falsch"),"")</f>
        <v/>
      </c>
      <c r="W309" s="16" t="str">
        <f>IF(AND(W$10&gt;=$D309,W$11&lt;=$E309),VLOOKUP($F309,$K$2:AK$8,W$1,"Falsch"),"")</f>
        <v/>
      </c>
      <c r="X309" s="16" t="str">
        <f>IF(AND(X$10&gt;=$D309,X$11&lt;=$E309),VLOOKUP($F309,$K$2:AL$8,X$1,"Falsch"),"")</f>
        <v/>
      </c>
      <c r="Y309" s="16" t="str">
        <f>IF(AND(Y$10&gt;=$D309,Y$11&lt;=$E309),VLOOKUP($F309,$K$2:AM$8,Y$1,"Falsch"),"")</f>
        <v/>
      </c>
      <c r="Z309" s="16" t="str">
        <f>IF(AND(Z$10&gt;=$D309,Z$11&lt;=$E309),VLOOKUP($F309,$K$2:AN$8,Z$1,"Falsch"),"")</f>
        <v/>
      </c>
      <c r="AA309" s="16" t="str">
        <f>IF(AND(AA$10&gt;=$D309,AA$11&lt;=$E309),VLOOKUP($F309,$K$2:AO$8,AA$1,"Falsch"),"")</f>
        <v/>
      </c>
      <c r="AB309" s="16" t="str">
        <f>IF(AND(AB$10&gt;=$D309,AB$11&lt;=$E309),VLOOKUP($F309,$K$2:AP$8,AB$1,"Falsch"),"")</f>
        <v/>
      </c>
      <c r="AC309" s="16" t="str">
        <f>IF(AND(AC$10&gt;=$D309,AC$11&lt;=$E309),VLOOKUP($F309,$K$2:AQ$8,AC$1,"Falsch"),"")</f>
        <v/>
      </c>
      <c r="AD309" s="16" t="str">
        <f>IF(AND(AD$10&gt;=$D309,AD$11&lt;=$E309),VLOOKUP($F309,$K$2:AR$8,AD$1,"Falsch"),"")</f>
        <v/>
      </c>
    </row>
    <row r="310" spans="9:30" x14ac:dyDescent="0.25">
      <c r="I310" s="21">
        <f t="shared" si="39"/>
        <v>0</v>
      </c>
      <c r="K310" s="25">
        <f t="shared" si="38"/>
        <v>0</v>
      </c>
      <c r="L310" s="16" t="str">
        <f>IF(AND(L$10&gt;=$D310,L$11&lt;=$E310),VLOOKUP($F310,$K$2:Z$8,L$1,"Falsch"),"")</f>
        <v/>
      </c>
      <c r="M310" s="16" t="str">
        <f>IF(AND(M$10&gt;=$D310,M$11&lt;=$E310),VLOOKUP($F310,$K$2:AA$8,M$1,"Falsch"),"")</f>
        <v/>
      </c>
      <c r="N310" s="16" t="str">
        <f>IF(AND(N$10&gt;=$D310,N$11&lt;=$E310),VLOOKUP($F310,$K$2:AB$8,N$1,"Falsch"),"")</f>
        <v/>
      </c>
      <c r="O310" s="16" t="str">
        <f>IF(AND(O$10&gt;=$D310,O$11&lt;=$E310),VLOOKUP($F310,$K$2:AC$8,O$1,"Falsch"),"")</f>
        <v/>
      </c>
      <c r="P310" s="16" t="str">
        <f>IF(AND(P$10&gt;=$D310,P$11&lt;=$E310),VLOOKUP($F310,$K$2:AD$8,P$1,"Falsch"),"")</f>
        <v/>
      </c>
      <c r="Q310" s="16" t="str">
        <f>IF(AND(Q$10&gt;=$D310,Q$11&lt;=$E310),VLOOKUP($F310,$K$2:AE$8,Q$1,"Falsch"),"")</f>
        <v/>
      </c>
      <c r="R310" s="16" t="str">
        <f>IF(AND(R$10&gt;=$D310,R$11&lt;=$E310),VLOOKUP($F310,$K$2:AF$8,R$1,"Falsch"),"")</f>
        <v/>
      </c>
      <c r="S310" s="16" t="str">
        <f>IF(AND(S$10&gt;=$D310,S$11&lt;=$E310),VLOOKUP($F310,$K$2:AG$8,S$1,"Falsch"),"")</f>
        <v/>
      </c>
      <c r="T310" s="16" t="str">
        <f>IF(AND(T$10&gt;=$D310,T$11&lt;=$E310),VLOOKUP($F310,$K$2:AH$8,T$1,"Falsch"),"")</f>
        <v/>
      </c>
      <c r="U310" s="16" t="str">
        <f>IF(AND(U$10&gt;=$D310,U$11&lt;=$E310),VLOOKUP($F310,$K$2:AI$8,U$1,"Falsch"),"")</f>
        <v/>
      </c>
      <c r="V310" s="16" t="str">
        <f>IF(AND(V$10&gt;=$D310,V$11&lt;=$E310),VLOOKUP($F310,$K$2:AJ$8,V$1,"Falsch"),"")</f>
        <v/>
      </c>
      <c r="W310" s="16" t="str">
        <f>IF(AND(W$10&gt;=$D310,W$11&lt;=$E310),VLOOKUP($F310,$K$2:AK$8,W$1,"Falsch"),"")</f>
        <v/>
      </c>
      <c r="X310" s="16" t="str">
        <f>IF(AND(X$10&gt;=$D310,X$11&lt;=$E310),VLOOKUP($F310,$K$2:AL$8,X$1,"Falsch"),"")</f>
        <v/>
      </c>
      <c r="Y310" s="16" t="str">
        <f>IF(AND(Y$10&gt;=$D310,Y$11&lt;=$E310),VLOOKUP($F310,$K$2:AM$8,Y$1,"Falsch"),"")</f>
        <v/>
      </c>
      <c r="Z310" s="16" t="str">
        <f>IF(AND(Z$10&gt;=$D310,Z$11&lt;=$E310),VLOOKUP($F310,$K$2:AN$8,Z$1,"Falsch"),"")</f>
        <v/>
      </c>
      <c r="AA310" s="16" t="str">
        <f>IF(AND(AA$10&gt;=$D310,AA$11&lt;=$E310),VLOOKUP($F310,$K$2:AO$8,AA$1,"Falsch"),"")</f>
        <v/>
      </c>
      <c r="AB310" s="16" t="str">
        <f>IF(AND(AB$10&gt;=$D310,AB$11&lt;=$E310),VLOOKUP($F310,$K$2:AP$8,AB$1,"Falsch"),"")</f>
        <v/>
      </c>
      <c r="AC310" s="16" t="str">
        <f>IF(AND(AC$10&gt;=$D310,AC$11&lt;=$E310),VLOOKUP($F310,$K$2:AQ$8,AC$1,"Falsch"),"")</f>
        <v/>
      </c>
      <c r="AD310" s="16" t="str">
        <f>IF(AND(AD$10&gt;=$D310,AD$11&lt;=$E310),VLOOKUP($F310,$K$2:AR$8,AD$1,"Falsch"),"")</f>
        <v/>
      </c>
    </row>
    <row r="311" spans="9:30" x14ac:dyDescent="0.25">
      <c r="I311" s="21">
        <f t="shared" si="39"/>
        <v>0</v>
      </c>
      <c r="K311" s="25">
        <f t="shared" si="38"/>
        <v>0</v>
      </c>
      <c r="L311" s="16" t="str">
        <f>IF(AND(L$10&gt;=$D311,L$11&lt;=$E311),VLOOKUP($F311,$K$2:Z$8,L$1,"Falsch"),"")</f>
        <v/>
      </c>
      <c r="M311" s="16" t="str">
        <f>IF(AND(M$10&gt;=$D311,M$11&lt;=$E311),VLOOKUP($F311,$K$2:AA$8,M$1,"Falsch"),"")</f>
        <v/>
      </c>
      <c r="N311" s="16" t="str">
        <f>IF(AND(N$10&gt;=$D311,N$11&lt;=$E311),VLOOKUP($F311,$K$2:AB$8,N$1,"Falsch"),"")</f>
        <v/>
      </c>
      <c r="O311" s="16" t="str">
        <f>IF(AND(O$10&gt;=$D311,O$11&lt;=$E311),VLOOKUP($F311,$K$2:AC$8,O$1,"Falsch"),"")</f>
        <v/>
      </c>
      <c r="P311" s="16" t="str">
        <f>IF(AND(P$10&gt;=$D311,P$11&lt;=$E311),VLOOKUP($F311,$K$2:AD$8,P$1,"Falsch"),"")</f>
        <v/>
      </c>
      <c r="Q311" s="16" t="str">
        <f>IF(AND(Q$10&gt;=$D311,Q$11&lt;=$E311),VLOOKUP($F311,$K$2:AE$8,Q$1,"Falsch"),"")</f>
        <v/>
      </c>
      <c r="R311" s="16" t="str">
        <f>IF(AND(R$10&gt;=$D311,R$11&lt;=$E311),VLOOKUP($F311,$K$2:AF$8,R$1,"Falsch"),"")</f>
        <v/>
      </c>
      <c r="S311" s="16" t="str">
        <f>IF(AND(S$10&gt;=$D311,S$11&lt;=$E311),VLOOKUP($F311,$K$2:AG$8,S$1,"Falsch"),"")</f>
        <v/>
      </c>
      <c r="T311" s="16" t="str">
        <f>IF(AND(T$10&gt;=$D311,T$11&lt;=$E311),VLOOKUP($F311,$K$2:AH$8,T$1,"Falsch"),"")</f>
        <v/>
      </c>
      <c r="U311" s="16" t="str">
        <f>IF(AND(U$10&gt;=$D311,U$11&lt;=$E311),VLOOKUP($F311,$K$2:AI$8,U$1,"Falsch"),"")</f>
        <v/>
      </c>
      <c r="V311" s="16" t="str">
        <f>IF(AND(V$10&gt;=$D311,V$11&lt;=$E311),VLOOKUP($F311,$K$2:AJ$8,V$1,"Falsch"),"")</f>
        <v/>
      </c>
      <c r="W311" s="16" t="str">
        <f>IF(AND(W$10&gt;=$D311,W$11&lt;=$E311),VLOOKUP($F311,$K$2:AK$8,W$1,"Falsch"),"")</f>
        <v/>
      </c>
      <c r="X311" s="16" t="str">
        <f>IF(AND(X$10&gt;=$D311,X$11&lt;=$E311),VLOOKUP($F311,$K$2:AL$8,X$1,"Falsch"),"")</f>
        <v/>
      </c>
      <c r="Y311" s="16" t="str">
        <f>IF(AND(Y$10&gt;=$D311,Y$11&lt;=$E311),VLOOKUP($F311,$K$2:AM$8,Y$1,"Falsch"),"")</f>
        <v/>
      </c>
      <c r="Z311" s="16" t="str">
        <f>IF(AND(Z$10&gt;=$D311,Z$11&lt;=$E311),VLOOKUP($F311,$K$2:AN$8,Z$1,"Falsch"),"")</f>
        <v/>
      </c>
      <c r="AA311" s="16" t="str">
        <f>IF(AND(AA$10&gt;=$D311,AA$11&lt;=$E311),VLOOKUP($F311,$K$2:AO$8,AA$1,"Falsch"),"")</f>
        <v/>
      </c>
      <c r="AB311" s="16" t="str">
        <f>IF(AND(AB$10&gt;=$D311,AB$11&lt;=$E311),VLOOKUP($F311,$K$2:AP$8,AB$1,"Falsch"),"")</f>
        <v/>
      </c>
      <c r="AC311" s="16" t="str">
        <f>IF(AND(AC$10&gt;=$D311,AC$11&lt;=$E311),VLOOKUP($F311,$K$2:AQ$8,AC$1,"Falsch"),"")</f>
        <v/>
      </c>
      <c r="AD311" s="16" t="str">
        <f>IF(AND(AD$10&gt;=$D311,AD$11&lt;=$E311),VLOOKUP($F311,$K$2:AR$8,AD$1,"Falsch"),"")</f>
        <v/>
      </c>
    </row>
    <row r="312" spans="9:30" x14ac:dyDescent="0.25">
      <c r="I312" s="21">
        <f t="shared" si="39"/>
        <v>0</v>
      </c>
      <c r="K312" s="25">
        <f t="shared" si="38"/>
        <v>0</v>
      </c>
      <c r="L312" s="16" t="str">
        <f>IF(AND(L$10&gt;=$D312,L$11&lt;=$E312),VLOOKUP($F312,$K$2:Z$8,L$1,"Falsch"),"")</f>
        <v/>
      </c>
      <c r="M312" s="16" t="str">
        <f>IF(AND(M$10&gt;=$D312,M$11&lt;=$E312),VLOOKUP($F312,$K$2:AA$8,M$1,"Falsch"),"")</f>
        <v/>
      </c>
      <c r="N312" s="16" t="str">
        <f>IF(AND(N$10&gt;=$D312,N$11&lt;=$E312),VLOOKUP($F312,$K$2:AB$8,N$1,"Falsch"),"")</f>
        <v/>
      </c>
      <c r="O312" s="16" t="str">
        <f>IF(AND(O$10&gt;=$D312,O$11&lt;=$E312),VLOOKUP($F312,$K$2:AC$8,O$1,"Falsch"),"")</f>
        <v/>
      </c>
      <c r="P312" s="16" t="str">
        <f>IF(AND(P$10&gt;=$D312,P$11&lt;=$E312),VLOOKUP($F312,$K$2:AD$8,P$1,"Falsch"),"")</f>
        <v/>
      </c>
      <c r="Q312" s="16" t="str">
        <f>IF(AND(Q$10&gt;=$D312,Q$11&lt;=$E312),VLOOKUP($F312,$K$2:AE$8,Q$1,"Falsch"),"")</f>
        <v/>
      </c>
      <c r="R312" s="16" t="str">
        <f>IF(AND(R$10&gt;=$D312,R$11&lt;=$E312),VLOOKUP($F312,$K$2:AF$8,R$1,"Falsch"),"")</f>
        <v/>
      </c>
      <c r="S312" s="16" t="str">
        <f>IF(AND(S$10&gt;=$D312,S$11&lt;=$E312),VLOOKUP($F312,$K$2:AG$8,S$1,"Falsch"),"")</f>
        <v/>
      </c>
      <c r="T312" s="16" t="str">
        <f>IF(AND(T$10&gt;=$D312,T$11&lt;=$E312),VLOOKUP($F312,$K$2:AH$8,T$1,"Falsch"),"")</f>
        <v/>
      </c>
      <c r="U312" s="16" t="str">
        <f>IF(AND(U$10&gt;=$D312,U$11&lt;=$E312),VLOOKUP($F312,$K$2:AI$8,U$1,"Falsch"),"")</f>
        <v/>
      </c>
      <c r="V312" s="16" t="str">
        <f>IF(AND(V$10&gt;=$D312,V$11&lt;=$E312),VLOOKUP($F312,$K$2:AJ$8,V$1,"Falsch"),"")</f>
        <v/>
      </c>
      <c r="W312" s="16" t="str">
        <f>IF(AND(W$10&gt;=$D312,W$11&lt;=$E312),VLOOKUP($F312,$K$2:AK$8,W$1,"Falsch"),"")</f>
        <v/>
      </c>
      <c r="X312" s="16" t="str">
        <f>IF(AND(X$10&gt;=$D312,X$11&lt;=$E312),VLOOKUP($F312,$K$2:AL$8,X$1,"Falsch"),"")</f>
        <v/>
      </c>
      <c r="Y312" s="16" t="str">
        <f>IF(AND(Y$10&gt;=$D312,Y$11&lt;=$E312),VLOOKUP($F312,$K$2:AM$8,Y$1,"Falsch"),"")</f>
        <v/>
      </c>
      <c r="Z312" s="16" t="str">
        <f>IF(AND(Z$10&gt;=$D312,Z$11&lt;=$E312),VLOOKUP($F312,$K$2:AN$8,Z$1,"Falsch"),"")</f>
        <v/>
      </c>
      <c r="AA312" s="16" t="str">
        <f>IF(AND(AA$10&gt;=$D312,AA$11&lt;=$E312),VLOOKUP($F312,$K$2:AO$8,AA$1,"Falsch"),"")</f>
        <v/>
      </c>
      <c r="AB312" s="16" t="str">
        <f>IF(AND(AB$10&gt;=$D312,AB$11&lt;=$E312),VLOOKUP($F312,$K$2:AP$8,AB$1,"Falsch"),"")</f>
        <v/>
      </c>
      <c r="AC312" s="16" t="str">
        <f>IF(AND(AC$10&gt;=$D312,AC$11&lt;=$E312),VLOOKUP($F312,$K$2:AQ$8,AC$1,"Falsch"),"")</f>
        <v/>
      </c>
      <c r="AD312" s="16" t="str">
        <f>IF(AND(AD$10&gt;=$D312,AD$11&lt;=$E312),VLOOKUP($F312,$K$2:AR$8,AD$1,"Falsch"),"")</f>
        <v/>
      </c>
    </row>
    <row r="313" spans="9:30" x14ac:dyDescent="0.25">
      <c r="I313" s="21">
        <f t="shared" si="39"/>
        <v>0</v>
      </c>
      <c r="K313" s="25">
        <f t="shared" si="38"/>
        <v>0</v>
      </c>
      <c r="L313" s="16" t="str">
        <f>IF(AND(L$10&gt;=$D313,L$11&lt;=$E313),VLOOKUP($F313,$K$2:Z$8,L$1,"Falsch"),"")</f>
        <v/>
      </c>
      <c r="M313" s="16" t="str">
        <f>IF(AND(M$10&gt;=$D313,M$11&lt;=$E313),VLOOKUP($F313,$K$2:AA$8,M$1,"Falsch"),"")</f>
        <v/>
      </c>
      <c r="N313" s="16" t="str">
        <f>IF(AND(N$10&gt;=$D313,N$11&lt;=$E313),VLOOKUP($F313,$K$2:AB$8,N$1,"Falsch"),"")</f>
        <v/>
      </c>
      <c r="O313" s="16" t="str">
        <f>IF(AND(O$10&gt;=$D313,O$11&lt;=$E313),VLOOKUP($F313,$K$2:AC$8,O$1,"Falsch"),"")</f>
        <v/>
      </c>
      <c r="P313" s="16" t="str">
        <f>IF(AND(P$10&gt;=$D313,P$11&lt;=$E313),VLOOKUP($F313,$K$2:AD$8,P$1,"Falsch"),"")</f>
        <v/>
      </c>
      <c r="Q313" s="16" t="str">
        <f>IF(AND(Q$10&gt;=$D313,Q$11&lt;=$E313),VLOOKUP($F313,$K$2:AE$8,Q$1,"Falsch"),"")</f>
        <v/>
      </c>
      <c r="R313" s="16" t="str">
        <f>IF(AND(R$10&gt;=$D313,R$11&lt;=$E313),VLOOKUP($F313,$K$2:AF$8,R$1,"Falsch"),"")</f>
        <v/>
      </c>
      <c r="S313" s="16" t="str">
        <f>IF(AND(S$10&gt;=$D313,S$11&lt;=$E313),VLOOKUP($F313,$K$2:AG$8,S$1,"Falsch"),"")</f>
        <v/>
      </c>
      <c r="T313" s="16" t="str">
        <f>IF(AND(T$10&gt;=$D313,T$11&lt;=$E313),VLOOKUP($F313,$K$2:AH$8,T$1,"Falsch"),"")</f>
        <v/>
      </c>
      <c r="U313" s="16" t="str">
        <f>IF(AND(U$10&gt;=$D313,U$11&lt;=$E313),VLOOKUP($F313,$K$2:AI$8,U$1,"Falsch"),"")</f>
        <v/>
      </c>
      <c r="V313" s="16" t="str">
        <f>IF(AND(V$10&gt;=$D313,V$11&lt;=$E313),VLOOKUP($F313,$K$2:AJ$8,V$1,"Falsch"),"")</f>
        <v/>
      </c>
      <c r="W313" s="16" t="str">
        <f>IF(AND(W$10&gt;=$D313,W$11&lt;=$E313),VLOOKUP($F313,$K$2:AK$8,W$1,"Falsch"),"")</f>
        <v/>
      </c>
      <c r="X313" s="16" t="str">
        <f>IF(AND(X$10&gt;=$D313,X$11&lt;=$E313),VLOOKUP($F313,$K$2:AL$8,X$1,"Falsch"),"")</f>
        <v/>
      </c>
      <c r="Y313" s="16" t="str">
        <f>IF(AND(Y$10&gt;=$D313,Y$11&lt;=$E313),VLOOKUP($F313,$K$2:AM$8,Y$1,"Falsch"),"")</f>
        <v/>
      </c>
      <c r="Z313" s="16" t="str">
        <f>IF(AND(Z$10&gt;=$D313,Z$11&lt;=$E313),VLOOKUP($F313,$K$2:AN$8,Z$1,"Falsch"),"")</f>
        <v/>
      </c>
      <c r="AA313" s="16" t="str">
        <f>IF(AND(AA$10&gt;=$D313,AA$11&lt;=$E313),VLOOKUP($F313,$K$2:AO$8,AA$1,"Falsch"),"")</f>
        <v/>
      </c>
      <c r="AB313" s="16" t="str">
        <f>IF(AND(AB$10&gt;=$D313,AB$11&lt;=$E313),VLOOKUP($F313,$K$2:AP$8,AB$1,"Falsch"),"")</f>
        <v/>
      </c>
      <c r="AC313" s="16" t="str">
        <f>IF(AND(AC$10&gt;=$D313,AC$11&lt;=$E313),VLOOKUP($F313,$K$2:AQ$8,AC$1,"Falsch"),"")</f>
        <v/>
      </c>
      <c r="AD313" s="16" t="str">
        <f>IF(AND(AD$10&gt;=$D313,AD$11&lt;=$E313),VLOOKUP($F313,$K$2:AR$8,AD$1,"Falsch"),"")</f>
        <v/>
      </c>
    </row>
    <row r="314" spans="9:30" x14ac:dyDescent="0.25">
      <c r="I314" s="21">
        <f t="shared" si="39"/>
        <v>0</v>
      </c>
      <c r="K314" s="25">
        <f t="shared" si="38"/>
        <v>0</v>
      </c>
      <c r="L314" s="16" t="str">
        <f>IF(AND(L$10&gt;=$D314,L$11&lt;=$E314),VLOOKUP($F314,$K$2:Z$8,L$1,"Falsch"),"")</f>
        <v/>
      </c>
      <c r="M314" s="16" t="str">
        <f>IF(AND(M$10&gt;=$D314,M$11&lt;=$E314),VLOOKUP($F314,$K$2:AA$8,M$1,"Falsch"),"")</f>
        <v/>
      </c>
      <c r="N314" s="16" t="str">
        <f>IF(AND(N$10&gt;=$D314,N$11&lt;=$E314),VLOOKUP($F314,$K$2:AB$8,N$1,"Falsch"),"")</f>
        <v/>
      </c>
      <c r="O314" s="16" t="str">
        <f>IF(AND(O$10&gt;=$D314,O$11&lt;=$E314),VLOOKUP($F314,$K$2:AC$8,O$1,"Falsch"),"")</f>
        <v/>
      </c>
      <c r="P314" s="16" t="str">
        <f>IF(AND(P$10&gt;=$D314,P$11&lt;=$E314),VLOOKUP($F314,$K$2:AD$8,P$1,"Falsch"),"")</f>
        <v/>
      </c>
      <c r="Q314" s="16" t="str">
        <f>IF(AND(Q$10&gt;=$D314,Q$11&lt;=$E314),VLOOKUP($F314,$K$2:AE$8,Q$1,"Falsch"),"")</f>
        <v/>
      </c>
      <c r="R314" s="16" t="str">
        <f>IF(AND(R$10&gt;=$D314,R$11&lt;=$E314),VLOOKUP($F314,$K$2:AF$8,R$1,"Falsch"),"")</f>
        <v/>
      </c>
      <c r="S314" s="16" t="str">
        <f>IF(AND(S$10&gt;=$D314,S$11&lt;=$E314),VLOOKUP($F314,$K$2:AG$8,S$1,"Falsch"),"")</f>
        <v/>
      </c>
      <c r="T314" s="16" t="str">
        <f>IF(AND(T$10&gt;=$D314,T$11&lt;=$E314),VLOOKUP($F314,$K$2:AH$8,T$1,"Falsch"),"")</f>
        <v/>
      </c>
      <c r="U314" s="16" t="str">
        <f>IF(AND(U$10&gt;=$D314,U$11&lt;=$E314),VLOOKUP($F314,$K$2:AI$8,U$1,"Falsch"),"")</f>
        <v/>
      </c>
      <c r="V314" s="16" t="str">
        <f>IF(AND(V$10&gt;=$D314,V$11&lt;=$E314),VLOOKUP($F314,$K$2:AJ$8,V$1,"Falsch"),"")</f>
        <v/>
      </c>
      <c r="W314" s="16" t="str">
        <f>IF(AND(W$10&gt;=$D314,W$11&lt;=$E314),VLOOKUP($F314,$K$2:AK$8,W$1,"Falsch"),"")</f>
        <v/>
      </c>
      <c r="X314" s="16" t="str">
        <f>IF(AND(X$10&gt;=$D314,X$11&lt;=$E314),VLOOKUP($F314,$K$2:AL$8,X$1,"Falsch"),"")</f>
        <v/>
      </c>
      <c r="Y314" s="16" t="str">
        <f>IF(AND(Y$10&gt;=$D314,Y$11&lt;=$E314),VLOOKUP($F314,$K$2:AM$8,Y$1,"Falsch"),"")</f>
        <v/>
      </c>
      <c r="Z314" s="16" t="str">
        <f>IF(AND(Z$10&gt;=$D314,Z$11&lt;=$E314),VLOOKUP($F314,$K$2:AN$8,Z$1,"Falsch"),"")</f>
        <v/>
      </c>
      <c r="AA314" s="16" t="str">
        <f>IF(AND(AA$10&gt;=$D314,AA$11&lt;=$E314),VLOOKUP($F314,$K$2:AO$8,AA$1,"Falsch"),"")</f>
        <v/>
      </c>
      <c r="AB314" s="16" t="str">
        <f>IF(AND(AB$10&gt;=$D314,AB$11&lt;=$E314),VLOOKUP($F314,$K$2:AP$8,AB$1,"Falsch"),"")</f>
        <v/>
      </c>
      <c r="AC314" s="16" t="str">
        <f>IF(AND(AC$10&gt;=$D314,AC$11&lt;=$E314),VLOOKUP($F314,$K$2:AQ$8,AC$1,"Falsch"),"")</f>
        <v/>
      </c>
      <c r="AD314" s="16" t="str">
        <f>IF(AND(AD$10&gt;=$D314,AD$11&lt;=$E314),VLOOKUP($F314,$K$2:AR$8,AD$1,"Falsch"),"")</f>
        <v/>
      </c>
    </row>
    <row r="315" spans="9:30" x14ac:dyDescent="0.25">
      <c r="I315" s="21">
        <f t="shared" si="39"/>
        <v>0</v>
      </c>
      <c r="K315" s="25">
        <f t="shared" si="38"/>
        <v>0</v>
      </c>
      <c r="L315" s="16" t="str">
        <f>IF(AND(L$10&gt;=$D315,L$11&lt;=$E315),VLOOKUP($F315,$K$2:Z$8,L$1,"Falsch"),"")</f>
        <v/>
      </c>
      <c r="M315" s="16" t="str">
        <f>IF(AND(M$10&gt;=$D315,M$11&lt;=$E315),VLOOKUP($F315,$K$2:AA$8,M$1,"Falsch"),"")</f>
        <v/>
      </c>
      <c r="N315" s="16" t="str">
        <f>IF(AND(N$10&gt;=$D315,N$11&lt;=$E315),VLOOKUP($F315,$K$2:AB$8,N$1,"Falsch"),"")</f>
        <v/>
      </c>
      <c r="O315" s="16" t="str">
        <f>IF(AND(O$10&gt;=$D315,O$11&lt;=$E315),VLOOKUP($F315,$K$2:AC$8,O$1,"Falsch"),"")</f>
        <v/>
      </c>
      <c r="P315" s="16" t="str">
        <f>IF(AND(P$10&gt;=$D315,P$11&lt;=$E315),VLOOKUP($F315,$K$2:AD$8,P$1,"Falsch"),"")</f>
        <v/>
      </c>
      <c r="Q315" s="16" t="str">
        <f>IF(AND(Q$10&gt;=$D315,Q$11&lt;=$E315),VLOOKUP($F315,$K$2:AE$8,Q$1,"Falsch"),"")</f>
        <v/>
      </c>
      <c r="R315" s="16" t="str">
        <f>IF(AND(R$10&gt;=$D315,R$11&lt;=$E315),VLOOKUP($F315,$K$2:AF$8,R$1,"Falsch"),"")</f>
        <v/>
      </c>
      <c r="S315" s="16" t="str">
        <f>IF(AND(S$10&gt;=$D315,S$11&lt;=$E315),VLOOKUP($F315,$K$2:AG$8,S$1,"Falsch"),"")</f>
        <v/>
      </c>
      <c r="T315" s="16" t="str">
        <f>IF(AND(T$10&gt;=$D315,T$11&lt;=$E315),VLOOKUP($F315,$K$2:AH$8,T$1,"Falsch"),"")</f>
        <v/>
      </c>
      <c r="U315" s="16" t="str">
        <f>IF(AND(U$10&gt;=$D315,U$11&lt;=$E315),VLOOKUP($F315,$K$2:AI$8,U$1,"Falsch"),"")</f>
        <v/>
      </c>
      <c r="V315" s="16" t="str">
        <f>IF(AND(V$10&gt;=$D315,V$11&lt;=$E315),VLOOKUP($F315,$K$2:AJ$8,V$1,"Falsch"),"")</f>
        <v/>
      </c>
      <c r="W315" s="16" t="str">
        <f>IF(AND(W$10&gt;=$D315,W$11&lt;=$E315),VLOOKUP($F315,$K$2:AK$8,W$1,"Falsch"),"")</f>
        <v/>
      </c>
      <c r="X315" s="16" t="str">
        <f>IF(AND(X$10&gt;=$D315,X$11&lt;=$E315),VLOOKUP($F315,$K$2:AL$8,X$1,"Falsch"),"")</f>
        <v/>
      </c>
      <c r="Y315" s="16" t="str">
        <f>IF(AND(Y$10&gt;=$D315,Y$11&lt;=$E315),VLOOKUP($F315,$K$2:AM$8,Y$1,"Falsch"),"")</f>
        <v/>
      </c>
      <c r="Z315" s="16" t="str">
        <f>IF(AND(Z$10&gt;=$D315,Z$11&lt;=$E315),VLOOKUP($F315,$K$2:AN$8,Z$1,"Falsch"),"")</f>
        <v/>
      </c>
      <c r="AA315" s="16" t="str">
        <f>IF(AND(AA$10&gt;=$D315,AA$11&lt;=$E315),VLOOKUP($F315,$K$2:AO$8,AA$1,"Falsch"),"")</f>
        <v/>
      </c>
      <c r="AB315" s="16" t="str">
        <f>IF(AND(AB$10&gt;=$D315,AB$11&lt;=$E315),VLOOKUP($F315,$K$2:AP$8,AB$1,"Falsch"),"")</f>
        <v/>
      </c>
      <c r="AC315" s="16" t="str">
        <f>IF(AND(AC$10&gt;=$D315,AC$11&lt;=$E315),VLOOKUP($F315,$K$2:AQ$8,AC$1,"Falsch"),"")</f>
        <v/>
      </c>
      <c r="AD315" s="16" t="str">
        <f>IF(AND(AD$10&gt;=$D315,AD$11&lt;=$E315),VLOOKUP($F315,$K$2:AR$8,AD$1,"Falsch"),"")</f>
        <v/>
      </c>
    </row>
    <row r="316" spans="9:30" x14ac:dyDescent="0.25">
      <c r="I316" s="21">
        <f t="shared" si="39"/>
        <v>0</v>
      </c>
      <c r="K316" s="25">
        <f t="shared" si="38"/>
        <v>0</v>
      </c>
      <c r="L316" s="16" t="str">
        <f>IF(AND(L$10&gt;=$D316,L$11&lt;=$E316),VLOOKUP($F316,$K$2:Z$8,L$1,"Falsch"),"")</f>
        <v/>
      </c>
      <c r="M316" s="16" t="str">
        <f>IF(AND(M$10&gt;=$D316,M$11&lt;=$E316),VLOOKUP($F316,$K$2:AA$8,M$1,"Falsch"),"")</f>
        <v/>
      </c>
      <c r="N316" s="16" t="str">
        <f>IF(AND(N$10&gt;=$D316,N$11&lt;=$E316),VLOOKUP($F316,$K$2:AB$8,N$1,"Falsch"),"")</f>
        <v/>
      </c>
      <c r="O316" s="16" t="str">
        <f>IF(AND(O$10&gt;=$D316,O$11&lt;=$E316),VLOOKUP($F316,$K$2:AC$8,O$1,"Falsch"),"")</f>
        <v/>
      </c>
      <c r="P316" s="16" t="str">
        <f>IF(AND(P$10&gt;=$D316,P$11&lt;=$E316),VLOOKUP($F316,$K$2:AD$8,P$1,"Falsch"),"")</f>
        <v/>
      </c>
      <c r="Q316" s="16" t="str">
        <f>IF(AND(Q$10&gt;=$D316,Q$11&lt;=$E316),VLOOKUP($F316,$K$2:AE$8,Q$1,"Falsch"),"")</f>
        <v/>
      </c>
      <c r="R316" s="16" t="str">
        <f>IF(AND(R$10&gt;=$D316,R$11&lt;=$E316),VLOOKUP($F316,$K$2:AF$8,R$1,"Falsch"),"")</f>
        <v/>
      </c>
      <c r="S316" s="16" t="str">
        <f>IF(AND(S$10&gt;=$D316,S$11&lt;=$E316),VLOOKUP($F316,$K$2:AG$8,S$1,"Falsch"),"")</f>
        <v/>
      </c>
      <c r="T316" s="16" t="str">
        <f>IF(AND(T$10&gt;=$D316,T$11&lt;=$E316),VLOOKUP($F316,$K$2:AH$8,T$1,"Falsch"),"")</f>
        <v/>
      </c>
      <c r="U316" s="16" t="str">
        <f>IF(AND(U$10&gt;=$D316,U$11&lt;=$E316),VLOOKUP($F316,$K$2:AI$8,U$1,"Falsch"),"")</f>
        <v/>
      </c>
      <c r="V316" s="16" t="str">
        <f>IF(AND(V$10&gt;=$D316,V$11&lt;=$E316),VLOOKUP($F316,$K$2:AJ$8,V$1,"Falsch"),"")</f>
        <v/>
      </c>
      <c r="W316" s="16" t="str">
        <f>IF(AND(W$10&gt;=$D316,W$11&lt;=$E316),VLOOKUP($F316,$K$2:AK$8,W$1,"Falsch"),"")</f>
        <v/>
      </c>
      <c r="X316" s="16" t="str">
        <f>IF(AND(X$10&gt;=$D316,X$11&lt;=$E316),VLOOKUP($F316,$K$2:AL$8,X$1,"Falsch"),"")</f>
        <v/>
      </c>
      <c r="Y316" s="16" t="str">
        <f>IF(AND(Y$10&gt;=$D316,Y$11&lt;=$E316),VLOOKUP($F316,$K$2:AM$8,Y$1,"Falsch"),"")</f>
        <v/>
      </c>
      <c r="Z316" s="16" t="str">
        <f>IF(AND(Z$10&gt;=$D316,Z$11&lt;=$E316),VLOOKUP($F316,$K$2:AN$8,Z$1,"Falsch"),"")</f>
        <v/>
      </c>
      <c r="AA316" s="16" t="str">
        <f>IF(AND(AA$10&gt;=$D316,AA$11&lt;=$E316),VLOOKUP($F316,$K$2:AO$8,AA$1,"Falsch"),"")</f>
        <v/>
      </c>
      <c r="AB316" s="16" t="str">
        <f>IF(AND(AB$10&gt;=$D316,AB$11&lt;=$E316),VLOOKUP($F316,$K$2:AP$8,AB$1,"Falsch"),"")</f>
        <v/>
      </c>
      <c r="AC316" s="16" t="str">
        <f>IF(AND(AC$10&gt;=$D316,AC$11&lt;=$E316),VLOOKUP($F316,$K$2:AQ$8,AC$1,"Falsch"),"")</f>
        <v/>
      </c>
      <c r="AD316" s="16" t="str">
        <f>IF(AND(AD$10&gt;=$D316,AD$11&lt;=$E316),VLOOKUP($F316,$K$2:AR$8,AD$1,"Falsch"),"")</f>
        <v/>
      </c>
    </row>
    <row r="317" spans="9:30" x14ac:dyDescent="0.25">
      <c r="I317" s="21">
        <f t="shared" si="39"/>
        <v>0</v>
      </c>
      <c r="K317" s="25">
        <f t="shared" si="38"/>
        <v>0</v>
      </c>
      <c r="L317" s="16" t="str">
        <f>IF(AND(L$10&gt;=$D317,L$11&lt;=$E317),VLOOKUP($F317,$K$2:Z$8,L$1,"Falsch"),"")</f>
        <v/>
      </c>
      <c r="M317" s="16" t="str">
        <f>IF(AND(M$10&gt;=$D317,M$11&lt;=$E317),VLOOKUP($F317,$K$2:AA$8,M$1,"Falsch"),"")</f>
        <v/>
      </c>
      <c r="N317" s="16" t="str">
        <f>IF(AND(N$10&gt;=$D317,N$11&lt;=$E317),VLOOKUP($F317,$K$2:AB$8,N$1,"Falsch"),"")</f>
        <v/>
      </c>
      <c r="O317" s="16" t="str">
        <f>IF(AND(O$10&gt;=$D317,O$11&lt;=$E317),VLOOKUP($F317,$K$2:AC$8,O$1,"Falsch"),"")</f>
        <v/>
      </c>
      <c r="P317" s="16" t="str">
        <f>IF(AND(P$10&gt;=$D317,P$11&lt;=$E317),VLOOKUP($F317,$K$2:AD$8,P$1,"Falsch"),"")</f>
        <v/>
      </c>
      <c r="Q317" s="16" t="str">
        <f>IF(AND(Q$10&gt;=$D317,Q$11&lt;=$E317),VLOOKUP($F317,$K$2:AE$8,Q$1,"Falsch"),"")</f>
        <v/>
      </c>
      <c r="R317" s="16" t="str">
        <f>IF(AND(R$10&gt;=$D317,R$11&lt;=$E317),VLOOKUP($F317,$K$2:AF$8,R$1,"Falsch"),"")</f>
        <v/>
      </c>
      <c r="S317" s="16" t="str">
        <f>IF(AND(S$10&gt;=$D317,S$11&lt;=$E317),VLOOKUP($F317,$K$2:AG$8,S$1,"Falsch"),"")</f>
        <v/>
      </c>
      <c r="T317" s="16" t="str">
        <f>IF(AND(T$10&gt;=$D317,T$11&lt;=$E317),VLOOKUP($F317,$K$2:AH$8,T$1,"Falsch"),"")</f>
        <v/>
      </c>
      <c r="U317" s="16" t="str">
        <f>IF(AND(U$10&gt;=$D317,U$11&lt;=$E317),VLOOKUP($F317,$K$2:AI$8,U$1,"Falsch"),"")</f>
        <v/>
      </c>
      <c r="V317" s="16" t="str">
        <f>IF(AND(V$10&gt;=$D317,V$11&lt;=$E317),VLOOKUP($F317,$K$2:AJ$8,V$1,"Falsch"),"")</f>
        <v/>
      </c>
      <c r="W317" s="16" t="str">
        <f>IF(AND(W$10&gt;=$D317,W$11&lt;=$E317),VLOOKUP($F317,$K$2:AK$8,W$1,"Falsch"),"")</f>
        <v/>
      </c>
      <c r="X317" s="16" t="str">
        <f>IF(AND(X$10&gt;=$D317,X$11&lt;=$E317),VLOOKUP($F317,$K$2:AL$8,X$1,"Falsch"),"")</f>
        <v/>
      </c>
      <c r="Y317" s="16" t="str">
        <f>IF(AND(Y$10&gt;=$D317,Y$11&lt;=$E317),VLOOKUP($F317,$K$2:AM$8,Y$1,"Falsch"),"")</f>
        <v/>
      </c>
      <c r="Z317" s="16" t="str">
        <f>IF(AND(Z$10&gt;=$D317,Z$11&lt;=$E317),VLOOKUP($F317,$K$2:AN$8,Z$1,"Falsch"),"")</f>
        <v/>
      </c>
      <c r="AA317" s="16" t="str">
        <f>IF(AND(AA$10&gt;=$D317,AA$11&lt;=$E317),VLOOKUP($F317,$K$2:AO$8,AA$1,"Falsch"),"")</f>
        <v/>
      </c>
      <c r="AB317" s="16" t="str">
        <f>IF(AND(AB$10&gt;=$D317,AB$11&lt;=$E317),VLOOKUP($F317,$K$2:AP$8,AB$1,"Falsch"),"")</f>
        <v/>
      </c>
      <c r="AC317" s="16" t="str">
        <f>IF(AND(AC$10&gt;=$D317,AC$11&lt;=$E317),VLOOKUP($F317,$K$2:AQ$8,AC$1,"Falsch"),"")</f>
        <v/>
      </c>
      <c r="AD317" s="16" t="str">
        <f>IF(AND(AD$10&gt;=$D317,AD$11&lt;=$E317),VLOOKUP($F317,$K$2:AR$8,AD$1,"Falsch"),"")</f>
        <v/>
      </c>
    </row>
    <row r="318" spans="9:30" x14ac:dyDescent="0.25">
      <c r="I318" s="21">
        <f t="shared" si="39"/>
        <v>0</v>
      </c>
      <c r="K318" s="25">
        <f t="shared" si="38"/>
        <v>0</v>
      </c>
      <c r="L318" s="16" t="str">
        <f>IF(AND(L$10&gt;=$D318,L$11&lt;=$E318),VLOOKUP($F318,$K$2:Z$8,L$1,"Falsch"),"")</f>
        <v/>
      </c>
      <c r="M318" s="16" t="str">
        <f>IF(AND(M$10&gt;=$D318,M$11&lt;=$E318),VLOOKUP($F318,$K$2:AA$8,M$1,"Falsch"),"")</f>
        <v/>
      </c>
      <c r="N318" s="16" t="str">
        <f>IF(AND(N$10&gt;=$D318,N$11&lt;=$E318),VLOOKUP($F318,$K$2:AB$8,N$1,"Falsch"),"")</f>
        <v/>
      </c>
      <c r="O318" s="16" t="str">
        <f>IF(AND(O$10&gt;=$D318,O$11&lt;=$E318),VLOOKUP($F318,$K$2:AC$8,O$1,"Falsch"),"")</f>
        <v/>
      </c>
      <c r="P318" s="16" t="str">
        <f>IF(AND(P$10&gt;=$D318,P$11&lt;=$E318),VLOOKUP($F318,$K$2:AD$8,P$1,"Falsch"),"")</f>
        <v/>
      </c>
      <c r="Q318" s="16" t="str">
        <f>IF(AND(Q$10&gt;=$D318,Q$11&lt;=$E318),VLOOKUP($F318,$K$2:AE$8,Q$1,"Falsch"),"")</f>
        <v/>
      </c>
      <c r="R318" s="16" t="str">
        <f>IF(AND(R$10&gt;=$D318,R$11&lt;=$E318),VLOOKUP($F318,$K$2:AF$8,R$1,"Falsch"),"")</f>
        <v/>
      </c>
      <c r="S318" s="16" t="str">
        <f>IF(AND(S$10&gt;=$D318,S$11&lt;=$E318),VLOOKUP($F318,$K$2:AG$8,S$1,"Falsch"),"")</f>
        <v/>
      </c>
      <c r="T318" s="16" t="str">
        <f>IF(AND(T$10&gt;=$D318,T$11&lt;=$E318),VLOOKUP($F318,$K$2:AH$8,T$1,"Falsch"),"")</f>
        <v/>
      </c>
      <c r="U318" s="16" t="str">
        <f>IF(AND(U$10&gt;=$D318,U$11&lt;=$E318),VLOOKUP($F318,$K$2:AI$8,U$1,"Falsch"),"")</f>
        <v/>
      </c>
      <c r="V318" s="16" t="str">
        <f>IF(AND(V$10&gt;=$D318,V$11&lt;=$E318),VLOOKUP($F318,$K$2:AJ$8,V$1,"Falsch"),"")</f>
        <v/>
      </c>
      <c r="W318" s="16" t="str">
        <f>IF(AND(W$10&gt;=$D318,W$11&lt;=$E318),VLOOKUP($F318,$K$2:AK$8,W$1,"Falsch"),"")</f>
        <v/>
      </c>
      <c r="X318" s="16" t="str">
        <f>IF(AND(X$10&gt;=$D318,X$11&lt;=$E318),VLOOKUP($F318,$K$2:AL$8,X$1,"Falsch"),"")</f>
        <v/>
      </c>
      <c r="Y318" s="16" t="str">
        <f>IF(AND(Y$10&gt;=$D318,Y$11&lt;=$E318),VLOOKUP($F318,$K$2:AM$8,Y$1,"Falsch"),"")</f>
        <v/>
      </c>
      <c r="Z318" s="16" t="str">
        <f>IF(AND(Z$10&gt;=$D318,Z$11&lt;=$E318),VLOOKUP($F318,$K$2:AN$8,Z$1,"Falsch"),"")</f>
        <v/>
      </c>
      <c r="AA318" s="16" t="str">
        <f>IF(AND(AA$10&gt;=$D318,AA$11&lt;=$E318),VLOOKUP($F318,$K$2:AO$8,AA$1,"Falsch"),"")</f>
        <v/>
      </c>
      <c r="AB318" s="16" t="str">
        <f>IF(AND(AB$10&gt;=$D318,AB$11&lt;=$E318),VLOOKUP($F318,$K$2:AP$8,AB$1,"Falsch"),"")</f>
        <v/>
      </c>
      <c r="AC318" s="16" t="str">
        <f>IF(AND(AC$10&gt;=$D318,AC$11&lt;=$E318),VLOOKUP($F318,$K$2:AQ$8,AC$1,"Falsch"),"")</f>
        <v/>
      </c>
      <c r="AD318" s="16" t="str">
        <f>IF(AND(AD$10&gt;=$D318,AD$11&lt;=$E318),VLOOKUP($F318,$K$2:AR$8,AD$1,"Falsch"),"")</f>
        <v/>
      </c>
    </row>
    <row r="319" spans="9:30" x14ac:dyDescent="0.25">
      <c r="I319" s="21">
        <f t="shared" si="39"/>
        <v>0</v>
      </c>
      <c r="K319" s="25">
        <f t="shared" si="38"/>
        <v>0</v>
      </c>
      <c r="L319" s="16" t="str">
        <f>IF(AND(L$10&gt;=$D319,L$11&lt;=$E319),VLOOKUP($F319,$K$2:Z$8,L$1,"Falsch"),"")</f>
        <v/>
      </c>
      <c r="M319" s="16" t="str">
        <f>IF(AND(M$10&gt;=$D319,M$11&lt;=$E319),VLOOKUP($F319,$K$2:AA$8,M$1,"Falsch"),"")</f>
        <v/>
      </c>
      <c r="N319" s="16" t="str">
        <f>IF(AND(N$10&gt;=$D319,N$11&lt;=$E319),VLOOKUP($F319,$K$2:AB$8,N$1,"Falsch"),"")</f>
        <v/>
      </c>
      <c r="O319" s="16" t="str">
        <f>IF(AND(O$10&gt;=$D319,O$11&lt;=$E319),VLOOKUP($F319,$K$2:AC$8,O$1,"Falsch"),"")</f>
        <v/>
      </c>
      <c r="P319" s="16" t="str">
        <f>IF(AND(P$10&gt;=$D319,P$11&lt;=$E319),VLOOKUP($F319,$K$2:AD$8,P$1,"Falsch"),"")</f>
        <v/>
      </c>
      <c r="Q319" s="16" t="str">
        <f>IF(AND(Q$10&gt;=$D319,Q$11&lt;=$E319),VLOOKUP($F319,$K$2:AE$8,Q$1,"Falsch"),"")</f>
        <v/>
      </c>
      <c r="R319" s="16" t="str">
        <f>IF(AND(R$10&gt;=$D319,R$11&lt;=$E319),VLOOKUP($F319,$K$2:AF$8,R$1,"Falsch"),"")</f>
        <v/>
      </c>
      <c r="S319" s="16" t="str">
        <f>IF(AND(S$10&gt;=$D319,S$11&lt;=$E319),VLOOKUP($F319,$K$2:AG$8,S$1,"Falsch"),"")</f>
        <v/>
      </c>
      <c r="T319" s="16" t="str">
        <f>IF(AND(T$10&gt;=$D319,T$11&lt;=$E319),VLOOKUP($F319,$K$2:AH$8,T$1,"Falsch"),"")</f>
        <v/>
      </c>
      <c r="U319" s="16" t="str">
        <f>IF(AND(U$10&gt;=$D319,U$11&lt;=$E319),VLOOKUP($F319,$K$2:AI$8,U$1,"Falsch"),"")</f>
        <v/>
      </c>
      <c r="V319" s="16" t="str">
        <f>IF(AND(V$10&gt;=$D319,V$11&lt;=$E319),VLOOKUP($F319,$K$2:AJ$8,V$1,"Falsch"),"")</f>
        <v/>
      </c>
      <c r="W319" s="16" t="str">
        <f>IF(AND(W$10&gt;=$D319,W$11&lt;=$E319),VLOOKUP($F319,$K$2:AK$8,W$1,"Falsch"),"")</f>
        <v/>
      </c>
      <c r="X319" s="16" t="str">
        <f>IF(AND(X$10&gt;=$D319,X$11&lt;=$E319),VLOOKUP($F319,$K$2:AL$8,X$1,"Falsch"),"")</f>
        <v/>
      </c>
      <c r="Y319" s="16" t="str">
        <f>IF(AND(Y$10&gt;=$D319,Y$11&lt;=$E319),VLOOKUP($F319,$K$2:AM$8,Y$1,"Falsch"),"")</f>
        <v/>
      </c>
      <c r="Z319" s="16" t="str">
        <f>IF(AND(Z$10&gt;=$D319,Z$11&lt;=$E319),VLOOKUP($F319,$K$2:AN$8,Z$1,"Falsch"),"")</f>
        <v/>
      </c>
      <c r="AA319" s="16" t="str">
        <f>IF(AND(AA$10&gt;=$D319,AA$11&lt;=$E319),VLOOKUP($F319,$K$2:AO$8,AA$1,"Falsch"),"")</f>
        <v/>
      </c>
      <c r="AB319" s="16" t="str">
        <f>IF(AND(AB$10&gt;=$D319,AB$11&lt;=$E319),VLOOKUP($F319,$K$2:AP$8,AB$1,"Falsch"),"")</f>
        <v/>
      </c>
      <c r="AC319" s="16" t="str">
        <f>IF(AND(AC$10&gt;=$D319,AC$11&lt;=$E319),VLOOKUP($F319,$K$2:AQ$8,AC$1,"Falsch"),"")</f>
        <v/>
      </c>
      <c r="AD319" s="16" t="str">
        <f>IF(AND(AD$10&gt;=$D319,AD$11&lt;=$E319),VLOOKUP($F319,$K$2:AR$8,AD$1,"Falsch"),"")</f>
        <v/>
      </c>
    </row>
    <row r="320" spans="9:30" x14ac:dyDescent="0.25">
      <c r="I320" s="21">
        <f t="shared" si="39"/>
        <v>0</v>
      </c>
      <c r="K320" s="25">
        <f t="shared" si="38"/>
        <v>0</v>
      </c>
      <c r="L320" s="16" t="str">
        <f>IF(AND(L$10&gt;=$D320,L$11&lt;=$E320),VLOOKUP($F320,$K$2:Z$8,L$1,"Falsch"),"")</f>
        <v/>
      </c>
      <c r="M320" s="16" t="str">
        <f>IF(AND(M$10&gt;=$D320,M$11&lt;=$E320),VLOOKUP($F320,$K$2:AA$8,M$1,"Falsch"),"")</f>
        <v/>
      </c>
      <c r="N320" s="16" t="str">
        <f>IF(AND(N$10&gt;=$D320,N$11&lt;=$E320),VLOOKUP($F320,$K$2:AB$8,N$1,"Falsch"),"")</f>
        <v/>
      </c>
      <c r="O320" s="16" t="str">
        <f>IF(AND(O$10&gt;=$D320,O$11&lt;=$E320),VLOOKUP($F320,$K$2:AC$8,O$1,"Falsch"),"")</f>
        <v/>
      </c>
      <c r="P320" s="16" t="str">
        <f>IF(AND(P$10&gt;=$D320,P$11&lt;=$E320),VLOOKUP($F320,$K$2:AD$8,P$1,"Falsch"),"")</f>
        <v/>
      </c>
      <c r="Q320" s="16" t="str">
        <f>IF(AND(Q$10&gt;=$D320,Q$11&lt;=$E320),VLOOKUP($F320,$K$2:AE$8,Q$1,"Falsch"),"")</f>
        <v/>
      </c>
      <c r="R320" s="16" t="str">
        <f>IF(AND(R$10&gt;=$D320,R$11&lt;=$E320),VLOOKUP($F320,$K$2:AF$8,R$1,"Falsch"),"")</f>
        <v/>
      </c>
      <c r="S320" s="16" t="str">
        <f>IF(AND(S$10&gt;=$D320,S$11&lt;=$E320),VLOOKUP($F320,$K$2:AG$8,S$1,"Falsch"),"")</f>
        <v/>
      </c>
      <c r="T320" s="16" t="str">
        <f>IF(AND(T$10&gt;=$D320,T$11&lt;=$E320),VLOOKUP($F320,$K$2:AH$8,T$1,"Falsch"),"")</f>
        <v/>
      </c>
      <c r="U320" s="16" t="str">
        <f>IF(AND(U$10&gt;=$D320,U$11&lt;=$E320),VLOOKUP($F320,$K$2:AI$8,U$1,"Falsch"),"")</f>
        <v/>
      </c>
      <c r="V320" s="16" t="str">
        <f>IF(AND(V$10&gt;=$D320,V$11&lt;=$E320),VLOOKUP($F320,$K$2:AJ$8,V$1,"Falsch"),"")</f>
        <v/>
      </c>
      <c r="W320" s="16" t="str">
        <f>IF(AND(W$10&gt;=$D320,W$11&lt;=$E320),VLOOKUP($F320,$K$2:AK$8,W$1,"Falsch"),"")</f>
        <v/>
      </c>
      <c r="X320" s="16" t="str">
        <f>IF(AND(X$10&gt;=$D320,X$11&lt;=$E320),VLOOKUP($F320,$K$2:AL$8,X$1,"Falsch"),"")</f>
        <v/>
      </c>
      <c r="Y320" s="16" t="str">
        <f>IF(AND(Y$10&gt;=$D320,Y$11&lt;=$E320),VLOOKUP($F320,$K$2:AM$8,Y$1,"Falsch"),"")</f>
        <v/>
      </c>
      <c r="Z320" s="16" t="str">
        <f>IF(AND(Z$10&gt;=$D320,Z$11&lt;=$E320),VLOOKUP($F320,$K$2:AN$8,Z$1,"Falsch"),"")</f>
        <v/>
      </c>
      <c r="AA320" s="16" t="str">
        <f>IF(AND(AA$10&gt;=$D320,AA$11&lt;=$E320),VLOOKUP($F320,$K$2:AO$8,AA$1,"Falsch"),"")</f>
        <v/>
      </c>
      <c r="AB320" s="16" t="str">
        <f>IF(AND(AB$10&gt;=$D320,AB$11&lt;=$E320),VLOOKUP($F320,$K$2:AP$8,AB$1,"Falsch"),"")</f>
        <v/>
      </c>
      <c r="AC320" s="16" t="str">
        <f>IF(AND(AC$10&gt;=$D320,AC$11&lt;=$E320),VLOOKUP($F320,$K$2:AQ$8,AC$1,"Falsch"),"")</f>
        <v/>
      </c>
      <c r="AD320" s="16" t="str">
        <f>IF(AND(AD$10&gt;=$D320,AD$11&lt;=$E320),VLOOKUP($F320,$K$2:AR$8,AD$1,"Falsch"),"")</f>
        <v/>
      </c>
    </row>
    <row r="321" spans="9:30" x14ac:dyDescent="0.25">
      <c r="I321" s="21">
        <f t="shared" si="39"/>
        <v>0</v>
      </c>
      <c r="K321" s="25">
        <f t="shared" si="38"/>
        <v>0</v>
      </c>
      <c r="L321" s="16" t="str">
        <f>IF(AND(L$10&gt;=$D321,L$11&lt;=$E321),VLOOKUP($F321,$K$2:Z$8,L$1,"Falsch"),"")</f>
        <v/>
      </c>
      <c r="M321" s="16" t="str">
        <f>IF(AND(M$10&gt;=$D321,M$11&lt;=$E321),VLOOKUP($F321,$K$2:AA$8,M$1,"Falsch"),"")</f>
        <v/>
      </c>
      <c r="N321" s="16" t="str">
        <f>IF(AND(N$10&gt;=$D321,N$11&lt;=$E321),VLOOKUP($F321,$K$2:AB$8,N$1,"Falsch"),"")</f>
        <v/>
      </c>
      <c r="O321" s="16" t="str">
        <f>IF(AND(O$10&gt;=$D321,O$11&lt;=$E321),VLOOKUP($F321,$K$2:AC$8,O$1,"Falsch"),"")</f>
        <v/>
      </c>
      <c r="P321" s="16" t="str">
        <f>IF(AND(P$10&gt;=$D321,P$11&lt;=$E321),VLOOKUP($F321,$K$2:AD$8,P$1,"Falsch"),"")</f>
        <v/>
      </c>
      <c r="Q321" s="16" t="str">
        <f>IF(AND(Q$10&gt;=$D321,Q$11&lt;=$E321),VLOOKUP($F321,$K$2:AE$8,Q$1,"Falsch"),"")</f>
        <v/>
      </c>
      <c r="R321" s="16" t="str">
        <f>IF(AND(R$10&gt;=$D321,R$11&lt;=$E321),VLOOKUP($F321,$K$2:AF$8,R$1,"Falsch"),"")</f>
        <v/>
      </c>
      <c r="S321" s="16" t="str">
        <f>IF(AND(S$10&gt;=$D321,S$11&lt;=$E321),VLOOKUP($F321,$K$2:AG$8,S$1,"Falsch"),"")</f>
        <v/>
      </c>
      <c r="T321" s="16" t="str">
        <f>IF(AND(T$10&gt;=$D321,T$11&lt;=$E321),VLOOKUP($F321,$K$2:AH$8,T$1,"Falsch"),"")</f>
        <v/>
      </c>
      <c r="U321" s="16" t="str">
        <f>IF(AND(U$10&gt;=$D321,U$11&lt;=$E321),VLOOKUP($F321,$K$2:AI$8,U$1,"Falsch"),"")</f>
        <v/>
      </c>
      <c r="V321" s="16" t="str">
        <f>IF(AND(V$10&gt;=$D321,V$11&lt;=$E321),VLOOKUP($F321,$K$2:AJ$8,V$1,"Falsch"),"")</f>
        <v/>
      </c>
      <c r="W321" s="16" t="str">
        <f>IF(AND(W$10&gt;=$D321,W$11&lt;=$E321),VLOOKUP($F321,$K$2:AK$8,W$1,"Falsch"),"")</f>
        <v/>
      </c>
      <c r="X321" s="16" t="str">
        <f>IF(AND(X$10&gt;=$D321,X$11&lt;=$E321),VLOOKUP($F321,$K$2:AL$8,X$1,"Falsch"),"")</f>
        <v/>
      </c>
      <c r="Y321" s="16" t="str">
        <f>IF(AND(Y$10&gt;=$D321,Y$11&lt;=$E321),VLOOKUP($F321,$K$2:AM$8,Y$1,"Falsch"),"")</f>
        <v/>
      </c>
      <c r="Z321" s="16" t="str">
        <f>IF(AND(Z$10&gt;=$D321,Z$11&lt;=$E321),VLOOKUP($F321,$K$2:AN$8,Z$1,"Falsch"),"")</f>
        <v/>
      </c>
      <c r="AA321" s="16" t="str">
        <f>IF(AND(AA$10&gt;=$D321,AA$11&lt;=$E321),VLOOKUP($F321,$K$2:AO$8,AA$1,"Falsch"),"")</f>
        <v/>
      </c>
      <c r="AB321" s="16" t="str">
        <f>IF(AND(AB$10&gt;=$D321,AB$11&lt;=$E321),VLOOKUP($F321,$K$2:AP$8,AB$1,"Falsch"),"")</f>
        <v/>
      </c>
      <c r="AC321" s="16" t="str">
        <f>IF(AND(AC$10&gt;=$D321,AC$11&lt;=$E321),VLOOKUP($F321,$K$2:AQ$8,AC$1,"Falsch"),"")</f>
        <v/>
      </c>
      <c r="AD321" s="16" t="str">
        <f>IF(AND(AD$10&gt;=$D321,AD$11&lt;=$E321),VLOOKUP($F321,$K$2:AR$8,AD$1,"Falsch"),"")</f>
        <v/>
      </c>
    </row>
    <row r="322" spans="9:30" x14ac:dyDescent="0.25">
      <c r="I322" s="21">
        <f t="shared" si="39"/>
        <v>0</v>
      </c>
      <c r="K322" s="25">
        <f t="shared" si="38"/>
        <v>0</v>
      </c>
      <c r="L322" s="16" t="str">
        <f>IF(AND(L$10&gt;=$D322,L$11&lt;=$E322),VLOOKUP($F322,$K$2:Z$8,L$1,"Falsch"),"")</f>
        <v/>
      </c>
      <c r="M322" s="16" t="str">
        <f>IF(AND(M$10&gt;=$D322,M$11&lt;=$E322),VLOOKUP($F322,$K$2:AA$8,M$1,"Falsch"),"")</f>
        <v/>
      </c>
      <c r="N322" s="16" t="str">
        <f>IF(AND(N$10&gt;=$D322,N$11&lt;=$E322),VLOOKUP($F322,$K$2:AB$8,N$1,"Falsch"),"")</f>
        <v/>
      </c>
      <c r="O322" s="16" t="str">
        <f>IF(AND(O$10&gt;=$D322,O$11&lt;=$E322),VLOOKUP($F322,$K$2:AC$8,O$1,"Falsch"),"")</f>
        <v/>
      </c>
      <c r="P322" s="16" t="str">
        <f>IF(AND(P$10&gt;=$D322,P$11&lt;=$E322),VLOOKUP($F322,$K$2:AD$8,P$1,"Falsch"),"")</f>
        <v/>
      </c>
      <c r="Q322" s="16" t="str">
        <f>IF(AND(Q$10&gt;=$D322,Q$11&lt;=$E322),VLOOKUP($F322,$K$2:AE$8,Q$1,"Falsch"),"")</f>
        <v/>
      </c>
      <c r="R322" s="16" t="str">
        <f>IF(AND(R$10&gt;=$D322,R$11&lt;=$E322),VLOOKUP($F322,$K$2:AF$8,R$1,"Falsch"),"")</f>
        <v/>
      </c>
      <c r="S322" s="16" t="str">
        <f>IF(AND(S$10&gt;=$D322,S$11&lt;=$E322),VLOOKUP($F322,$K$2:AG$8,S$1,"Falsch"),"")</f>
        <v/>
      </c>
      <c r="T322" s="16" t="str">
        <f>IF(AND(T$10&gt;=$D322,T$11&lt;=$E322),VLOOKUP($F322,$K$2:AH$8,T$1,"Falsch"),"")</f>
        <v/>
      </c>
      <c r="U322" s="16" t="str">
        <f>IF(AND(U$10&gt;=$D322,U$11&lt;=$E322),VLOOKUP($F322,$K$2:AI$8,U$1,"Falsch"),"")</f>
        <v/>
      </c>
      <c r="V322" s="16" t="str">
        <f>IF(AND(V$10&gt;=$D322,V$11&lt;=$E322),VLOOKUP($F322,$K$2:AJ$8,V$1,"Falsch"),"")</f>
        <v/>
      </c>
      <c r="W322" s="16" t="str">
        <f>IF(AND(W$10&gt;=$D322,W$11&lt;=$E322),VLOOKUP($F322,$K$2:AK$8,W$1,"Falsch"),"")</f>
        <v/>
      </c>
      <c r="X322" s="16" t="str">
        <f>IF(AND(X$10&gt;=$D322,X$11&lt;=$E322),VLOOKUP($F322,$K$2:AL$8,X$1,"Falsch"),"")</f>
        <v/>
      </c>
      <c r="Y322" s="16" t="str">
        <f>IF(AND(Y$10&gt;=$D322,Y$11&lt;=$E322),VLOOKUP($F322,$K$2:AM$8,Y$1,"Falsch"),"")</f>
        <v/>
      </c>
      <c r="Z322" s="16" t="str">
        <f>IF(AND(Z$10&gt;=$D322,Z$11&lt;=$E322),VLOOKUP($F322,$K$2:AN$8,Z$1,"Falsch"),"")</f>
        <v/>
      </c>
      <c r="AA322" s="16" t="str">
        <f>IF(AND(AA$10&gt;=$D322,AA$11&lt;=$E322),VLOOKUP($F322,$K$2:AO$8,AA$1,"Falsch"),"")</f>
        <v/>
      </c>
      <c r="AB322" s="16" t="str">
        <f>IF(AND(AB$10&gt;=$D322,AB$11&lt;=$E322),VLOOKUP($F322,$K$2:AP$8,AB$1,"Falsch"),"")</f>
        <v/>
      </c>
      <c r="AC322" s="16" t="str">
        <f>IF(AND(AC$10&gt;=$D322,AC$11&lt;=$E322),VLOOKUP($F322,$K$2:AQ$8,AC$1,"Falsch"),"")</f>
        <v/>
      </c>
      <c r="AD322" s="16" t="str">
        <f>IF(AND(AD$10&gt;=$D322,AD$11&lt;=$E322),VLOOKUP($F322,$K$2:AR$8,AD$1,"Falsch"),"")</f>
        <v/>
      </c>
    </row>
    <row r="323" spans="9:30" x14ac:dyDescent="0.25">
      <c r="I323" s="21">
        <f t="shared" si="39"/>
        <v>0</v>
      </c>
      <c r="K323" s="25">
        <f t="shared" si="38"/>
        <v>0</v>
      </c>
      <c r="L323" s="16" t="str">
        <f>IF(AND(L$10&gt;=$D323,L$11&lt;=$E323),VLOOKUP($F323,$K$2:Z$8,L$1,"Falsch"),"")</f>
        <v/>
      </c>
      <c r="M323" s="16" t="str">
        <f>IF(AND(M$10&gt;=$D323,M$11&lt;=$E323),VLOOKUP($F323,$K$2:AA$8,M$1,"Falsch"),"")</f>
        <v/>
      </c>
      <c r="N323" s="16" t="str">
        <f>IF(AND(N$10&gt;=$D323,N$11&lt;=$E323),VLOOKUP($F323,$K$2:AB$8,N$1,"Falsch"),"")</f>
        <v/>
      </c>
      <c r="O323" s="16" t="str">
        <f>IF(AND(O$10&gt;=$D323,O$11&lt;=$E323),VLOOKUP($F323,$K$2:AC$8,O$1,"Falsch"),"")</f>
        <v/>
      </c>
      <c r="P323" s="16" t="str">
        <f>IF(AND(P$10&gt;=$D323,P$11&lt;=$E323),VLOOKUP($F323,$K$2:AD$8,P$1,"Falsch"),"")</f>
        <v/>
      </c>
      <c r="Q323" s="16" t="str">
        <f>IF(AND(Q$10&gt;=$D323,Q$11&lt;=$E323),VLOOKUP($F323,$K$2:AE$8,Q$1,"Falsch"),"")</f>
        <v/>
      </c>
      <c r="R323" s="16" t="str">
        <f>IF(AND(R$10&gt;=$D323,R$11&lt;=$E323),VLOOKUP($F323,$K$2:AF$8,R$1,"Falsch"),"")</f>
        <v/>
      </c>
      <c r="S323" s="16" t="str">
        <f>IF(AND(S$10&gt;=$D323,S$11&lt;=$E323),VLOOKUP($F323,$K$2:AG$8,S$1,"Falsch"),"")</f>
        <v/>
      </c>
      <c r="T323" s="16" t="str">
        <f>IF(AND(T$10&gt;=$D323,T$11&lt;=$E323),VLOOKUP($F323,$K$2:AH$8,T$1,"Falsch"),"")</f>
        <v/>
      </c>
      <c r="U323" s="16" t="str">
        <f>IF(AND(U$10&gt;=$D323,U$11&lt;=$E323),VLOOKUP($F323,$K$2:AI$8,U$1,"Falsch"),"")</f>
        <v/>
      </c>
      <c r="V323" s="16" t="str">
        <f>IF(AND(V$10&gt;=$D323,V$11&lt;=$E323),VLOOKUP($F323,$K$2:AJ$8,V$1,"Falsch"),"")</f>
        <v/>
      </c>
      <c r="W323" s="16" t="str">
        <f>IF(AND(W$10&gt;=$D323,W$11&lt;=$E323),VLOOKUP($F323,$K$2:AK$8,W$1,"Falsch"),"")</f>
        <v/>
      </c>
      <c r="X323" s="16" t="str">
        <f>IF(AND(X$10&gt;=$D323,X$11&lt;=$E323),VLOOKUP($F323,$K$2:AL$8,X$1,"Falsch"),"")</f>
        <v/>
      </c>
      <c r="Y323" s="16" t="str">
        <f>IF(AND(Y$10&gt;=$D323,Y$11&lt;=$E323),VLOOKUP($F323,$K$2:AM$8,Y$1,"Falsch"),"")</f>
        <v/>
      </c>
      <c r="Z323" s="16" t="str">
        <f>IF(AND(Z$10&gt;=$D323,Z$11&lt;=$E323),VLOOKUP($F323,$K$2:AN$8,Z$1,"Falsch"),"")</f>
        <v/>
      </c>
      <c r="AA323" s="16" t="str">
        <f>IF(AND(AA$10&gt;=$D323,AA$11&lt;=$E323),VLOOKUP($F323,$K$2:AO$8,AA$1,"Falsch"),"")</f>
        <v/>
      </c>
      <c r="AB323" s="16" t="str">
        <f>IF(AND(AB$10&gt;=$D323,AB$11&lt;=$E323),VLOOKUP($F323,$K$2:AP$8,AB$1,"Falsch"),"")</f>
        <v/>
      </c>
      <c r="AC323" s="16" t="str">
        <f>IF(AND(AC$10&gt;=$D323,AC$11&lt;=$E323),VLOOKUP($F323,$K$2:AQ$8,AC$1,"Falsch"),"")</f>
        <v/>
      </c>
      <c r="AD323" s="16" t="str">
        <f>IF(AND(AD$10&gt;=$D323,AD$11&lt;=$E323),VLOOKUP($F323,$K$2:AR$8,AD$1,"Falsch"),"")</f>
        <v/>
      </c>
    </row>
    <row r="324" spans="9:30" x14ac:dyDescent="0.25">
      <c r="I324" s="21">
        <f t="shared" si="39"/>
        <v>0</v>
      </c>
      <c r="K324" s="25">
        <f t="shared" si="38"/>
        <v>0</v>
      </c>
      <c r="L324" s="16" t="str">
        <f>IF(AND(L$10&gt;=$D324,L$11&lt;=$E324),VLOOKUP($F324,$K$2:Z$8,L$1,"Falsch"),"")</f>
        <v/>
      </c>
      <c r="M324" s="16" t="str">
        <f>IF(AND(M$10&gt;=$D324,M$11&lt;=$E324),VLOOKUP($F324,$K$2:AA$8,M$1,"Falsch"),"")</f>
        <v/>
      </c>
      <c r="N324" s="16" t="str">
        <f>IF(AND(N$10&gt;=$D324,N$11&lt;=$E324),VLOOKUP($F324,$K$2:AB$8,N$1,"Falsch"),"")</f>
        <v/>
      </c>
      <c r="O324" s="16" t="str">
        <f>IF(AND(O$10&gt;=$D324,O$11&lt;=$E324),VLOOKUP($F324,$K$2:AC$8,O$1,"Falsch"),"")</f>
        <v/>
      </c>
      <c r="P324" s="16" t="str">
        <f>IF(AND(P$10&gt;=$D324,P$11&lt;=$E324),VLOOKUP($F324,$K$2:AD$8,P$1,"Falsch"),"")</f>
        <v/>
      </c>
      <c r="Q324" s="16" t="str">
        <f>IF(AND(Q$10&gt;=$D324,Q$11&lt;=$E324),VLOOKUP($F324,$K$2:AE$8,Q$1,"Falsch"),"")</f>
        <v/>
      </c>
      <c r="R324" s="16" t="str">
        <f>IF(AND(R$10&gt;=$D324,R$11&lt;=$E324),VLOOKUP($F324,$K$2:AF$8,R$1,"Falsch"),"")</f>
        <v/>
      </c>
      <c r="S324" s="16" t="str">
        <f>IF(AND(S$10&gt;=$D324,S$11&lt;=$E324),VLOOKUP($F324,$K$2:AG$8,S$1,"Falsch"),"")</f>
        <v/>
      </c>
      <c r="T324" s="16" t="str">
        <f>IF(AND(T$10&gt;=$D324,T$11&lt;=$E324),VLOOKUP($F324,$K$2:AH$8,T$1,"Falsch"),"")</f>
        <v/>
      </c>
      <c r="U324" s="16" t="str">
        <f>IF(AND(U$10&gt;=$D324,U$11&lt;=$E324),VLOOKUP($F324,$K$2:AI$8,U$1,"Falsch"),"")</f>
        <v/>
      </c>
      <c r="V324" s="16" t="str">
        <f>IF(AND(V$10&gt;=$D324,V$11&lt;=$E324),VLOOKUP($F324,$K$2:AJ$8,V$1,"Falsch"),"")</f>
        <v/>
      </c>
      <c r="W324" s="16" t="str">
        <f>IF(AND(W$10&gt;=$D324,W$11&lt;=$E324),VLOOKUP($F324,$K$2:AK$8,W$1,"Falsch"),"")</f>
        <v/>
      </c>
      <c r="X324" s="16" t="str">
        <f>IF(AND(X$10&gt;=$D324,X$11&lt;=$E324),VLOOKUP($F324,$K$2:AL$8,X$1,"Falsch"),"")</f>
        <v/>
      </c>
      <c r="Y324" s="16" t="str">
        <f>IF(AND(Y$10&gt;=$D324,Y$11&lt;=$E324),VLOOKUP($F324,$K$2:AM$8,Y$1,"Falsch"),"")</f>
        <v/>
      </c>
      <c r="Z324" s="16" t="str">
        <f>IF(AND(Z$10&gt;=$D324,Z$11&lt;=$E324),VLOOKUP($F324,$K$2:AN$8,Z$1,"Falsch"),"")</f>
        <v/>
      </c>
      <c r="AA324" s="16" t="str">
        <f>IF(AND(AA$10&gt;=$D324,AA$11&lt;=$E324),VLOOKUP($F324,$K$2:AO$8,AA$1,"Falsch"),"")</f>
        <v/>
      </c>
      <c r="AB324" s="16" t="str">
        <f>IF(AND(AB$10&gt;=$D324,AB$11&lt;=$E324),VLOOKUP($F324,$K$2:AP$8,AB$1,"Falsch"),"")</f>
        <v/>
      </c>
      <c r="AC324" s="16" t="str">
        <f>IF(AND(AC$10&gt;=$D324,AC$11&lt;=$E324),VLOOKUP($F324,$K$2:AQ$8,AC$1,"Falsch"),"")</f>
        <v/>
      </c>
      <c r="AD324" s="16" t="str">
        <f>IF(AND(AD$10&gt;=$D324,AD$11&lt;=$E324),VLOOKUP($F324,$K$2:AR$8,AD$1,"Falsch"),"")</f>
        <v/>
      </c>
    </row>
    <row r="325" spans="9:30" x14ac:dyDescent="0.25">
      <c r="I325" s="21">
        <f t="shared" si="39"/>
        <v>0</v>
      </c>
      <c r="K325" s="25">
        <f t="shared" si="38"/>
        <v>0</v>
      </c>
      <c r="L325" s="16" t="str">
        <f>IF(AND(L$10&gt;=$D325,L$11&lt;=$E325),VLOOKUP($F325,$K$2:Z$8,L$1,"Falsch"),"")</f>
        <v/>
      </c>
      <c r="M325" s="16" t="str">
        <f>IF(AND(M$10&gt;=$D325,M$11&lt;=$E325),VLOOKUP($F325,$K$2:AA$8,M$1,"Falsch"),"")</f>
        <v/>
      </c>
      <c r="N325" s="16" t="str">
        <f>IF(AND(N$10&gt;=$D325,N$11&lt;=$E325),VLOOKUP($F325,$K$2:AB$8,N$1,"Falsch"),"")</f>
        <v/>
      </c>
      <c r="O325" s="16" t="str">
        <f>IF(AND(O$10&gt;=$D325,O$11&lt;=$E325),VLOOKUP($F325,$K$2:AC$8,O$1,"Falsch"),"")</f>
        <v/>
      </c>
      <c r="P325" s="16" t="str">
        <f>IF(AND(P$10&gt;=$D325,P$11&lt;=$E325),VLOOKUP($F325,$K$2:AD$8,P$1,"Falsch"),"")</f>
        <v/>
      </c>
      <c r="Q325" s="16" t="str">
        <f>IF(AND(Q$10&gt;=$D325,Q$11&lt;=$E325),VLOOKUP($F325,$K$2:AE$8,Q$1,"Falsch"),"")</f>
        <v/>
      </c>
      <c r="R325" s="16" t="str">
        <f>IF(AND(R$10&gt;=$D325,R$11&lt;=$E325),VLOOKUP($F325,$K$2:AF$8,R$1,"Falsch"),"")</f>
        <v/>
      </c>
      <c r="S325" s="16" t="str">
        <f>IF(AND(S$10&gt;=$D325,S$11&lt;=$E325),VLOOKUP($F325,$K$2:AG$8,S$1,"Falsch"),"")</f>
        <v/>
      </c>
      <c r="T325" s="16" t="str">
        <f>IF(AND(T$10&gt;=$D325,T$11&lt;=$E325),VLOOKUP($F325,$K$2:AH$8,T$1,"Falsch"),"")</f>
        <v/>
      </c>
      <c r="U325" s="16" t="str">
        <f>IF(AND(U$10&gt;=$D325,U$11&lt;=$E325),VLOOKUP($F325,$K$2:AI$8,U$1,"Falsch"),"")</f>
        <v/>
      </c>
      <c r="V325" s="16" t="str">
        <f>IF(AND(V$10&gt;=$D325,V$11&lt;=$E325),VLOOKUP($F325,$K$2:AJ$8,V$1,"Falsch"),"")</f>
        <v/>
      </c>
      <c r="W325" s="16" t="str">
        <f>IF(AND(W$10&gt;=$D325,W$11&lt;=$E325),VLOOKUP($F325,$K$2:AK$8,W$1,"Falsch"),"")</f>
        <v/>
      </c>
      <c r="X325" s="16" t="str">
        <f>IF(AND(X$10&gt;=$D325,X$11&lt;=$E325),VLOOKUP($F325,$K$2:AL$8,X$1,"Falsch"),"")</f>
        <v/>
      </c>
      <c r="Y325" s="16" t="str">
        <f>IF(AND(Y$10&gt;=$D325,Y$11&lt;=$E325),VLOOKUP($F325,$K$2:AM$8,Y$1,"Falsch"),"")</f>
        <v/>
      </c>
      <c r="Z325" s="16" t="str">
        <f>IF(AND(Z$10&gt;=$D325,Z$11&lt;=$E325),VLOOKUP($F325,$K$2:AN$8,Z$1,"Falsch"),"")</f>
        <v/>
      </c>
      <c r="AA325" s="16" t="str">
        <f>IF(AND(AA$10&gt;=$D325,AA$11&lt;=$E325),VLOOKUP($F325,$K$2:AO$8,AA$1,"Falsch"),"")</f>
        <v/>
      </c>
      <c r="AB325" s="16" t="str">
        <f>IF(AND(AB$10&gt;=$D325,AB$11&lt;=$E325),VLOOKUP($F325,$K$2:AP$8,AB$1,"Falsch"),"")</f>
        <v/>
      </c>
      <c r="AC325" s="16" t="str">
        <f>IF(AND(AC$10&gt;=$D325,AC$11&lt;=$E325),VLOOKUP($F325,$K$2:AQ$8,AC$1,"Falsch"),"")</f>
        <v/>
      </c>
      <c r="AD325" s="16" t="str">
        <f>IF(AND(AD$10&gt;=$D325,AD$11&lt;=$E325),VLOOKUP($F325,$K$2:AR$8,AD$1,"Falsch"),"")</f>
        <v/>
      </c>
    </row>
    <row r="326" spans="9:30" x14ac:dyDescent="0.25">
      <c r="I326" s="21">
        <f t="shared" si="39"/>
        <v>0</v>
      </c>
      <c r="K326" s="25">
        <f t="shared" si="38"/>
        <v>0</v>
      </c>
      <c r="L326" s="16" t="str">
        <f>IF(AND(L$10&gt;=$D326,L$11&lt;=$E326),VLOOKUP($F326,$K$2:Z$8,L$1,"Falsch"),"")</f>
        <v/>
      </c>
      <c r="M326" s="16" t="str">
        <f>IF(AND(M$10&gt;=$D326,M$11&lt;=$E326),VLOOKUP($F326,$K$2:AA$8,M$1,"Falsch"),"")</f>
        <v/>
      </c>
      <c r="N326" s="16" t="str">
        <f>IF(AND(N$10&gt;=$D326,N$11&lt;=$E326),VLOOKUP($F326,$K$2:AB$8,N$1,"Falsch"),"")</f>
        <v/>
      </c>
      <c r="O326" s="16" t="str">
        <f>IF(AND(O$10&gt;=$D326,O$11&lt;=$E326),VLOOKUP($F326,$K$2:AC$8,O$1,"Falsch"),"")</f>
        <v/>
      </c>
      <c r="P326" s="16" t="str">
        <f>IF(AND(P$10&gt;=$D326,P$11&lt;=$E326),VLOOKUP($F326,$K$2:AD$8,P$1,"Falsch"),"")</f>
        <v/>
      </c>
      <c r="Q326" s="16" t="str">
        <f>IF(AND(Q$10&gt;=$D326,Q$11&lt;=$E326),VLOOKUP($F326,$K$2:AE$8,Q$1,"Falsch"),"")</f>
        <v/>
      </c>
      <c r="R326" s="16" t="str">
        <f>IF(AND(R$10&gt;=$D326,R$11&lt;=$E326),VLOOKUP($F326,$K$2:AF$8,R$1,"Falsch"),"")</f>
        <v/>
      </c>
      <c r="S326" s="16" t="str">
        <f>IF(AND(S$10&gt;=$D326,S$11&lt;=$E326),VLOOKUP($F326,$K$2:AG$8,S$1,"Falsch"),"")</f>
        <v/>
      </c>
      <c r="T326" s="16" t="str">
        <f>IF(AND(T$10&gt;=$D326,T$11&lt;=$E326),VLOOKUP($F326,$K$2:AH$8,T$1,"Falsch"),"")</f>
        <v/>
      </c>
      <c r="U326" s="16" t="str">
        <f>IF(AND(U$10&gt;=$D326,U$11&lt;=$E326),VLOOKUP($F326,$K$2:AI$8,U$1,"Falsch"),"")</f>
        <v/>
      </c>
      <c r="V326" s="16" t="str">
        <f>IF(AND(V$10&gt;=$D326,V$11&lt;=$E326),VLOOKUP($F326,$K$2:AJ$8,V$1,"Falsch"),"")</f>
        <v/>
      </c>
      <c r="W326" s="16" t="str">
        <f>IF(AND(W$10&gt;=$D326,W$11&lt;=$E326),VLOOKUP($F326,$K$2:AK$8,W$1,"Falsch"),"")</f>
        <v/>
      </c>
      <c r="X326" s="16" t="str">
        <f>IF(AND(X$10&gt;=$D326,X$11&lt;=$E326),VLOOKUP($F326,$K$2:AL$8,X$1,"Falsch"),"")</f>
        <v/>
      </c>
      <c r="Y326" s="16" t="str">
        <f>IF(AND(Y$10&gt;=$D326,Y$11&lt;=$E326),VLOOKUP($F326,$K$2:AM$8,Y$1,"Falsch"),"")</f>
        <v/>
      </c>
      <c r="Z326" s="16" t="str">
        <f>IF(AND(Z$10&gt;=$D326,Z$11&lt;=$E326),VLOOKUP($F326,$K$2:AN$8,Z$1,"Falsch"),"")</f>
        <v/>
      </c>
      <c r="AA326" s="16" t="str">
        <f>IF(AND(AA$10&gt;=$D326,AA$11&lt;=$E326),VLOOKUP($F326,$K$2:AO$8,AA$1,"Falsch"),"")</f>
        <v/>
      </c>
      <c r="AB326" s="16" t="str">
        <f>IF(AND(AB$10&gt;=$D326,AB$11&lt;=$E326),VLOOKUP($F326,$K$2:AP$8,AB$1,"Falsch"),"")</f>
        <v/>
      </c>
      <c r="AC326" s="16" t="str">
        <f>IF(AND(AC$10&gt;=$D326,AC$11&lt;=$E326),VLOOKUP($F326,$K$2:AQ$8,AC$1,"Falsch"),"")</f>
        <v/>
      </c>
      <c r="AD326" s="16" t="str">
        <f>IF(AND(AD$10&gt;=$D326,AD$11&lt;=$E326),VLOOKUP($F326,$K$2:AR$8,AD$1,"Falsch"),"")</f>
        <v/>
      </c>
    </row>
    <row r="327" spans="9:30" x14ac:dyDescent="0.25">
      <c r="I327" s="21">
        <f t="shared" si="39"/>
        <v>0</v>
      </c>
      <c r="K327" s="25">
        <f t="shared" si="38"/>
        <v>0</v>
      </c>
      <c r="L327" s="16" t="str">
        <f>IF(AND(L$10&gt;=$D327,L$11&lt;=$E327),VLOOKUP($F327,$K$2:Z$8,L$1,"Falsch"),"")</f>
        <v/>
      </c>
      <c r="M327" s="16" t="str">
        <f>IF(AND(M$10&gt;=$D327,M$11&lt;=$E327),VLOOKUP($F327,$K$2:AA$8,M$1,"Falsch"),"")</f>
        <v/>
      </c>
      <c r="N327" s="16" t="str">
        <f>IF(AND(N$10&gt;=$D327,N$11&lt;=$E327),VLOOKUP($F327,$K$2:AB$8,N$1,"Falsch"),"")</f>
        <v/>
      </c>
      <c r="O327" s="16" t="str">
        <f>IF(AND(O$10&gt;=$D327,O$11&lt;=$E327),VLOOKUP($F327,$K$2:AC$8,O$1,"Falsch"),"")</f>
        <v/>
      </c>
      <c r="P327" s="16" t="str">
        <f>IF(AND(P$10&gt;=$D327,P$11&lt;=$E327),VLOOKUP($F327,$K$2:AD$8,P$1,"Falsch"),"")</f>
        <v/>
      </c>
      <c r="Q327" s="16" t="str">
        <f>IF(AND(Q$10&gt;=$D327,Q$11&lt;=$E327),VLOOKUP($F327,$K$2:AE$8,Q$1,"Falsch"),"")</f>
        <v/>
      </c>
      <c r="R327" s="16" t="str">
        <f>IF(AND(R$10&gt;=$D327,R$11&lt;=$E327),VLOOKUP($F327,$K$2:AF$8,R$1,"Falsch"),"")</f>
        <v/>
      </c>
      <c r="S327" s="16" t="str">
        <f>IF(AND(S$10&gt;=$D327,S$11&lt;=$E327),VLOOKUP($F327,$K$2:AG$8,S$1,"Falsch"),"")</f>
        <v/>
      </c>
      <c r="T327" s="16" t="str">
        <f>IF(AND(T$10&gt;=$D327,T$11&lt;=$E327),VLOOKUP($F327,$K$2:AH$8,T$1,"Falsch"),"")</f>
        <v/>
      </c>
      <c r="U327" s="16" t="str">
        <f>IF(AND(U$10&gt;=$D327,U$11&lt;=$E327),VLOOKUP($F327,$K$2:AI$8,U$1,"Falsch"),"")</f>
        <v/>
      </c>
      <c r="V327" s="16" t="str">
        <f>IF(AND(V$10&gt;=$D327,V$11&lt;=$E327),VLOOKUP($F327,$K$2:AJ$8,V$1,"Falsch"),"")</f>
        <v/>
      </c>
      <c r="W327" s="16" t="str">
        <f>IF(AND(W$10&gt;=$D327,W$11&lt;=$E327),VLOOKUP($F327,$K$2:AK$8,W$1,"Falsch"),"")</f>
        <v/>
      </c>
      <c r="X327" s="16" t="str">
        <f>IF(AND(X$10&gt;=$D327,X$11&lt;=$E327),VLOOKUP($F327,$K$2:AL$8,X$1,"Falsch"),"")</f>
        <v/>
      </c>
      <c r="Y327" s="16" t="str">
        <f>IF(AND(Y$10&gt;=$D327,Y$11&lt;=$E327),VLOOKUP($F327,$K$2:AM$8,Y$1,"Falsch"),"")</f>
        <v/>
      </c>
      <c r="Z327" s="16" t="str">
        <f>IF(AND(Z$10&gt;=$D327,Z$11&lt;=$E327),VLOOKUP($F327,$K$2:AN$8,Z$1,"Falsch"),"")</f>
        <v/>
      </c>
      <c r="AA327" s="16" t="str">
        <f>IF(AND(AA$10&gt;=$D327,AA$11&lt;=$E327),VLOOKUP($F327,$K$2:AO$8,AA$1,"Falsch"),"")</f>
        <v/>
      </c>
      <c r="AB327" s="16" t="str">
        <f>IF(AND(AB$10&gt;=$D327,AB$11&lt;=$E327),VLOOKUP($F327,$K$2:AP$8,AB$1,"Falsch"),"")</f>
        <v/>
      </c>
      <c r="AC327" s="16" t="str">
        <f>IF(AND(AC$10&gt;=$D327,AC$11&lt;=$E327),VLOOKUP($F327,$K$2:AQ$8,AC$1,"Falsch"),"")</f>
        <v/>
      </c>
      <c r="AD327" s="16" t="str">
        <f>IF(AND(AD$10&gt;=$D327,AD$11&lt;=$E327),VLOOKUP($F327,$K$2:AR$8,AD$1,"Falsch"),"")</f>
        <v/>
      </c>
    </row>
    <row r="328" spans="9:30" x14ac:dyDescent="0.25">
      <c r="I328" s="21">
        <f t="shared" si="39"/>
        <v>0</v>
      </c>
      <c r="K328" s="25">
        <f t="shared" si="38"/>
        <v>0</v>
      </c>
      <c r="L328" s="16" t="str">
        <f>IF(AND(L$10&gt;=$D328,L$11&lt;=$E328),VLOOKUP($F328,$K$2:Z$8,L$1,"Falsch"),"")</f>
        <v/>
      </c>
      <c r="M328" s="16" t="str">
        <f>IF(AND(M$10&gt;=$D328,M$11&lt;=$E328),VLOOKUP($F328,$K$2:AA$8,M$1,"Falsch"),"")</f>
        <v/>
      </c>
      <c r="N328" s="16" t="str">
        <f>IF(AND(N$10&gt;=$D328,N$11&lt;=$E328),VLOOKUP($F328,$K$2:AB$8,N$1,"Falsch"),"")</f>
        <v/>
      </c>
      <c r="O328" s="16" t="str">
        <f>IF(AND(O$10&gt;=$D328,O$11&lt;=$E328),VLOOKUP($F328,$K$2:AC$8,O$1,"Falsch"),"")</f>
        <v/>
      </c>
      <c r="P328" s="16" t="str">
        <f>IF(AND(P$10&gt;=$D328,P$11&lt;=$E328),VLOOKUP($F328,$K$2:AD$8,P$1,"Falsch"),"")</f>
        <v/>
      </c>
      <c r="Q328" s="16" t="str">
        <f>IF(AND(Q$10&gt;=$D328,Q$11&lt;=$E328),VLOOKUP($F328,$K$2:AE$8,Q$1,"Falsch"),"")</f>
        <v/>
      </c>
      <c r="R328" s="16" t="str">
        <f>IF(AND(R$10&gt;=$D328,R$11&lt;=$E328),VLOOKUP($F328,$K$2:AF$8,R$1,"Falsch"),"")</f>
        <v/>
      </c>
      <c r="S328" s="16" t="str">
        <f>IF(AND(S$10&gt;=$D328,S$11&lt;=$E328),VLOOKUP($F328,$K$2:AG$8,S$1,"Falsch"),"")</f>
        <v/>
      </c>
      <c r="T328" s="16" t="str">
        <f>IF(AND(T$10&gt;=$D328,T$11&lt;=$E328),VLOOKUP($F328,$K$2:AH$8,T$1,"Falsch"),"")</f>
        <v/>
      </c>
      <c r="U328" s="16" t="str">
        <f>IF(AND(U$10&gt;=$D328,U$11&lt;=$E328),VLOOKUP($F328,$K$2:AI$8,U$1,"Falsch"),"")</f>
        <v/>
      </c>
      <c r="V328" s="16" t="str">
        <f>IF(AND(V$10&gt;=$D328,V$11&lt;=$E328),VLOOKUP($F328,$K$2:AJ$8,V$1,"Falsch"),"")</f>
        <v/>
      </c>
      <c r="W328" s="16" t="str">
        <f>IF(AND(W$10&gt;=$D328,W$11&lt;=$E328),VLOOKUP($F328,$K$2:AK$8,W$1,"Falsch"),"")</f>
        <v/>
      </c>
      <c r="X328" s="16" t="str">
        <f>IF(AND(X$10&gt;=$D328,X$11&lt;=$E328),VLOOKUP($F328,$K$2:AL$8,X$1,"Falsch"),"")</f>
        <v/>
      </c>
      <c r="Y328" s="16" t="str">
        <f>IF(AND(Y$10&gt;=$D328,Y$11&lt;=$E328),VLOOKUP($F328,$K$2:AM$8,Y$1,"Falsch"),"")</f>
        <v/>
      </c>
      <c r="Z328" s="16" t="str">
        <f>IF(AND(Z$10&gt;=$D328,Z$11&lt;=$E328),VLOOKUP($F328,$K$2:AN$8,Z$1,"Falsch"),"")</f>
        <v/>
      </c>
      <c r="AA328" s="16" t="str">
        <f>IF(AND(AA$10&gt;=$D328,AA$11&lt;=$E328),VLOOKUP($F328,$K$2:AO$8,AA$1,"Falsch"),"")</f>
        <v/>
      </c>
      <c r="AB328" s="16" t="str">
        <f>IF(AND(AB$10&gt;=$D328,AB$11&lt;=$E328),VLOOKUP($F328,$K$2:AP$8,AB$1,"Falsch"),"")</f>
        <v/>
      </c>
      <c r="AC328" s="16" t="str">
        <f>IF(AND(AC$10&gt;=$D328,AC$11&lt;=$E328),VLOOKUP($F328,$K$2:AQ$8,AC$1,"Falsch"),"")</f>
        <v/>
      </c>
      <c r="AD328" s="16" t="str">
        <f>IF(AND(AD$10&gt;=$D328,AD$11&lt;=$E328),VLOOKUP($F328,$K$2:AR$8,AD$1,"Falsch"),"")</f>
        <v/>
      </c>
    </row>
    <row r="329" spans="9:30" x14ac:dyDescent="0.25">
      <c r="I329" s="21">
        <f t="shared" si="39"/>
        <v>0</v>
      </c>
      <c r="K329" s="25">
        <f t="shared" si="38"/>
        <v>0</v>
      </c>
      <c r="L329" s="16" t="str">
        <f>IF(AND(L$10&gt;=$D329,L$11&lt;=$E329),VLOOKUP($F329,$K$2:Z$8,L$1,"Falsch"),"")</f>
        <v/>
      </c>
      <c r="M329" s="16" t="str">
        <f>IF(AND(M$10&gt;=$D329,M$11&lt;=$E329),VLOOKUP($F329,$K$2:AA$8,M$1,"Falsch"),"")</f>
        <v/>
      </c>
      <c r="N329" s="16" t="str">
        <f>IF(AND(N$10&gt;=$D329,N$11&lt;=$E329),VLOOKUP($F329,$K$2:AB$8,N$1,"Falsch"),"")</f>
        <v/>
      </c>
      <c r="O329" s="16" t="str">
        <f>IF(AND(O$10&gt;=$D329,O$11&lt;=$E329),VLOOKUP($F329,$K$2:AC$8,O$1,"Falsch"),"")</f>
        <v/>
      </c>
      <c r="P329" s="16" t="str">
        <f>IF(AND(P$10&gt;=$D329,P$11&lt;=$E329),VLOOKUP($F329,$K$2:AD$8,P$1,"Falsch"),"")</f>
        <v/>
      </c>
      <c r="Q329" s="16" t="str">
        <f>IF(AND(Q$10&gt;=$D329,Q$11&lt;=$E329),VLOOKUP($F329,$K$2:AE$8,Q$1,"Falsch"),"")</f>
        <v/>
      </c>
      <c r="R329" s="16" t="str">
        <f>IF(AND(R$10&gt;=$D329,R$11&lt;=$E329),VLOOKUP($F329,$K$2:AF$8,R$1,"Falsch"),"")</f>
        <v/>
      </c>
      <c r="S329" s="16" t="str">
        <f>IF(AND(S$10&gt;=$D329,S$11&lt;=$E329),VLOOKUP($F329,$K$2:AG$8,S$1,"Falsch"),"")</f>
        <v/>
      </c>
      <c r="T329" s="16" t="str">
        <f>IF(AND(T$10&gt;=$D329,T$11&lt;=$E329),VLOOKUP($F329,$K$2:AH$8,T$1,"Falsch"),"")</f>
        <v/>
      </c>
      <c r="U329" s="16" t="str">
        <f>IF(AND(U$10&gt;=$D329,U$11&lt;=$E329),VLOOKUP($F329,$K$2:AI$8,U$1,"Falsch"),"")</f>
        <v/>
      </c>
      <c r="V329" s="16" t="str">
        <f>IF(AND(V$10&gt;=$D329,V$11&lt;=$E329),VLOOKUP($F329,$K$2:AJ$8,V$1,"Falsch"),"")</f>
        <v/>
      </c>
      <c r="W329" s="16" t="str">
        <f>IF(AND(W$10&gt;=$D329,W$11&lt;=$E329),VLOOKUP($F329,$K$2:AK$8,W$1,"Falsch"),"")</f>
        <v/>
      </c>
      <c r="X329" s="16" t="str">
        <f>IF(AND(X$10&gt;=$D329,X$11&lt;=$E329),VLOOKUP($F329,$K$2:AL$8,X$1,"Falsch"),"")</f>
        <v/>
      </c>
      <c r="Y329" s="16" t="str">
        <f>IF(AND(Y$10&gt;=$D329,Y$11&lt;=$E329),VLOOKUP($F329,$K$2:AM$8,Y$1,"Falsch"),"")</f>
        <v/>
      </c>
      <c r="Z329" s="16" t="str">
        <f>IF(AND(Z$10&gt;=$D329,Z$11&lt;=$E329),VLOOKUP($F329,$K$2:AN$8,Z$1,"Falsch"),"")</f>
        <v/>
      </c>
      <c r="AA329" s="16" t="str">
        <f>IF(AND(AA$10&gt;=$D329,AA$11&lt;=$E329),VLOOKUP($F329,$K$2:AO$8,AA$1,"Falsch"),"")</f>
        <v/>
      </c>
      <c r="AB329" s="16" t="str">
        <f>IF(AND(AB$10&gt;=$D329,AB$11&lt;=$E329),VLOOKUP($F329,$K$2:AP$8,AB$1,"Falsch"),"")</f>
        <v/>
      </c>
      <c r="AC329" s="16" t="str">
        <f>IF(AND(AC$10&gt;=$D329,AC$11&lt;=$E329),VLOOKUP($F329,$K$2:AQ$8,AC$1,"Falsch"),"")</f>
        <v/>
      </c>
      <c r="AD329" s="16" t="str">
        <f>IF(AND(AD$10&gt;=$D329,AD$11&lt;=$E329),VLOOKUP($F329,$K$2:AR$8,AD$1,"Falsch"),"")</f>
        <v/>
      </c>
    </row>
    <row r="330" spans="9:30" x14ac:dyDescent="0.25">
      <c r="I330" s="21">
        <f t="shared" si="39"/>
        <v>0</v>
      </c>
      <c r="K330" s="25">
        <f t="shared" si="38"/>
        <v>0</v>
      </c>
      <c r="L330" s="16" t="str">
        <f>IF(AND(L$10&gt;=$D330,L$11&lt;=$E330),VLOOKUP($F330,$K$2:Z$8,L$1,"Falsch"),"")</f>
        <v/>
      </c>
      <c r="M330" s="16" t="str">
        <f>IF(AND(M$10&gt;=$D330,M$11&lt;=$E330),VLOOKUP($F330,$K$2:AA$8,M$1,"Falsch"),"")</f>
        <v/>
      </c>
      <c r="N330" s="16" t="str">
        <f>IF(AND(N$10&gt;=$D330,N$11&lt;=$E330),VLOOKUP($F330,$K$2:AB$8,N$1,"Falsch"),"")</f>
        <v/>
      </c>
      <c r="O330" s="16" t="str">
        <f>IF(AND(O$10&gt;=$D330,O$11&lt;=$E330),VLOOKUP($F330,$K$2:AC$8,O$1,"Falsch"),"")</f>
        <v/>
      </c>
      <c r="P330" s="16" t="str">
        <f>IF(AND(P$10&gt;=$D330,P$11&lt;=$E330),VLOOKUP($F330,$K$2:AD$8,P$1,"Falsch"),"")</f>
        <v/>
      </c>
      <c r="Q330" s="16" t="str">
        <f>IF(AND(Q$10&gt;=$D330,Q$11&lt;=$E330),VLOOKUP($F330,$K$2:AE$8,Q$1,"Falsch"),"")</f>
        <v/>
      </c>
      <c r="R330" s="16" t="str">
        <f>IF(AND(R$10&gt;=$D330,R$11&lt;=$E330),VLOOKUP($F330,$K$2:AF$8,R$1,"Falsch"),"")</f>
        <v/>
      </c>
      <c r="S330" s="16" t="str">
        <f>IF(AND(S$10&gt;=$D330,S$11&lt;=$E330),VLOOKUP($F330,$K$2:AG$8,S$1,"Falsch"),"")</f>
        <v/>
      </c>
      <c r="T330" s="16" t="str">
        <f>IF(AND(T$10&gt;=$D330,T$11&lt;=$E330),VLOOKUP($F330,$K$2:AH$8,T$1,"Falsch"),"")</f>
        <v/>
      </c>
      <c r="U330" s="16" t="str">
        <f>IF(AND(U$10&gt;=$D330,U$11&lt;=$E330),VLOOKUP($F330,$K$2:AI$8,U$1,"Falsch"),"")</f>
        <v/>
      </c>
      <c r="V330" s="16" t="str">
        <f>IF(AND(V$10&gt;=$D330,V$11&lt;=$E330),VLOOKUP($F330,$K$2:AJ$8,V$1,"Falsch"),"")</f>
        <v/>
      </c>
      <c r="W330" s="16" t="str">
        <f>IF(AND(W$10&gt;=$D330,W$11&lt;=$E330),VLOOKUP($F330,$K$2:AK$8,W$1,"Falsch"),"")</f>
        <v/>
      </c>
      <c r="X330" s="16" t="str">
        <f>IF(AND(X$10&gt;=$D330,X$11&lt;=$E330),VLOOKUP($F330,$K$2:AL$8,X$1,"Falsch"),"")</f>
        <v/>
      </c>
      <c r="Y330" s="16" t="str">
        <f>IF(AND(Y$10&gt;=$D330,Y$11&lt;=$E330),VLOOKUP($F330,$K$2:AM$8,Y$1,"Falsch"),"")</f>
        <v/>
      </c>
      <c r="Z330" s="16" t="str">
        <f>IF(AND(Z$10&gt;=$D330,Z$11&lt;=$E330),VLOOKUP($F330,$K$2:AN$8,Z$1,"Falsch"),"")</f>
        <v/>
      </c>
      <c r="AA330" s="16" t="str">
        <f>IF(AND(AA$10&gt;=$D330,AA$11&lt;=$E330),VLOOKUP($F330,$K$2:AO$8,AA$1,"Falsch"),"")</f>
        <v/>
      </c>
      <c r="AB330" s="16" t="str">
        <f>IF(AND(AB$10&gt;=$D330,AB$11&lt;=$E330),VLOOKUP($F330,$K$2:AP$8,AB$1,"Falsch"),"")</f>
        <v/>
      </c>
      <c r="AC330" s="16" t="str">
        <f>IF(AND(AC$10&gt;=$D330,AC$11&lt;=$E330),VLOOKUP($F330,$K$2:AQ$8,AC$1,"Falsch"),"")</f>
        <v/>
      </c>
      <c r="AD330" s="16" t="str">
        <f>IF(AND(AD$10&gt;=$D330,AD$11&lt;=$E330),VLOOKUP($F330,$K$2:AR$8,AD$1,"Falsch"),"")</f>
        <v/>
      </c>
    </row>
    <row r="331" spans="9:30" x14ac:dyDescent="0.25">
      <c r="I331" s="21">
        <f t="shared" si="39"/>
        <v>0</v>
      </c>
      <c r="K331" s="25">
        <f t="shared" si="38"/>
        <v>0</v>
      </c>
      <c r="L331" s="16" t="str">
        <f>IF(AND(L$10&gt;=$D331,L$11&lt;=$E331),VLOOKUP($F331,$K$2:Z$8,L$1,"Falsch"),"")</f>
        <v/>
      </c>
      <c r="M331" s="16" t="str">
        <f>IF(AND(M$10&gt;=$D331,M$11&lt;=$E331),VLOOKUP($F331,$K$2:AA$8,M$1,"Falsch"),"")</f>
        <v/>
      </c>
      <c r="N331" s="16" t="str">
        <f>IF(AND(N$10&gt;=$D331,N$11&lt;=$E331),VLOOKUP($F331,$K$2:AB$8,N$1,"Falsch"),"")</f>
        <v/>
      </c>
      <c r="O331" s="16" t="str">
        <f>IF(AND(O$10&gt;=$D331,O$11&lt;=$E331),VLOOKUP($F331,$K$2:AC$8,O$1,"Falsch"),"")</f>
        <v/>
      </c>
      <c r="P331" s="16" t="str">
        <f>IF(AND(P$10&gt;=$D331,P$11&lt;=$E331),VLOOKUP($F331,$K$2:AD$8,P$1,"Falsch"),"")</f>
        <v/>
      </c>
      <c r="Q331" s="16" t="str">
        <f>IF(AND(Q$10&gt;=$D331,Q$11&lt;=$E331),VLOOKUP($F331,$K$2:AE$8,Q$1,"Falsch"),"")</f>
        <v/>
      </c>
      <c r="R331" s="16" t="str">
        <f>IF(AND(R$10&gt;=$D331,R$11&lt;=$E331),VLOOKUP($F331,$K$2:AF$8,R$1,"Falsch"),"")</f>
        <v/>
      </c>
      <c r="S331" s="16" t="str">
        <f>IF(AND(S$10&gt;=$D331,S$11&lt;=$E331),VLOOKUP($F331,$K$2:AG$8,S$1,"Falsch"),"")</f>
        <v/>
      </c>
      <c r="T331" s="16" t="str">
        <f>IF(AND(T$10&gt;=$D331,T$11&lt;=$E331),VLOOKUP($F331,$K$2:AH$8,T$1,"Falsch"),"")</f>
        <v/>
      </c>
      <c r="U331" s="16" t="str">
        <f>IF(AND(U$10&gt;=$D331,U$11&lt;=$E331),VLOOKUP($F331,$K$2:AI$8,U$1,"Falsch"),"")</f>
        <v/>
      </c>
      <c r="V331" s="16" t="str">
        <f>IF(AND(V$10&gt;=$D331,V$11&lt;=$E331),VLOOKUP($F331,$K$2:AJ$8,V$1,"Falsch"),"")</f>
        <v/>
      </c>
      <c r="W331" s="16" t="str">
        <f>IF(AND(W$10&gt;=$D331,W$11&lt;=$E331),VLOOKUP($F331,$K$2:AK$8,W$1,"Falsch"),"")</f>
        <v/>
      </c>
      <c r="X331" s="16" t="str">
        <f>IF(AND(X$10&gt;=$D331,X$11&lt;=$E331),VLOOKUP($F331,$K$2:AL$8,X$1,"Falsch"),"")</f>
        <v/>
      </c>
      <c r="Y331" s="16" t="str">
        <f>IF(AND(Y$10&gt;=$D331,Y$11&lt;=$E331),VLOOKUP($F331,$K$2:AM$8,Y$1,"Falsch"),"")</f>
        <v/>
      </c>
      <c r="Z331" s="16" t="str">
        <f>IF(AND(Z$10&gt;=$D331,Z$11&lt;=$E331),VLOOKUP($F331,$K$2:AN$8,Z$1,"Falsch"),"")</f>
        <v/>
      </c>
      <c r="AA331" s="16" t="str">
        <f>IF(AND(AA$10&gt;=$D331,AA$11&lt;=$E331),VLOOKUP($F331,$K$2:AO$8,AA$1,"Falsch"),"")</f>
        <v/>
      </c>
      <c r="AB331" s="16" t="str">
        <f>IF(AND(AB$10&gt;=$D331,AB$11&lt;=$E331),VLOOKUP($F331,$K$2:AP$8,AB$1,"Falsch"),"")</f>
        <v/>
      </c>
      <c r="AC331" s="16" t="str">
        <f>IF(AND(AC$10&gt;=$D331,AC$11&lt;=$E331),VLOOKUP($F331,$K$2:AQ$8,AC$1,"Falsch"),"")</f>
        <v/>
      </c>
      <c r="AD331" s="16" t="str">
        <f>IF(AND(AD$10&gt;=$D331,AD$11&lt;=$E331),VLOOKUP($F331,$K$2:AR$8,AD$1,"Falsch"),"")</f>
        <v/>
      </c>
    </row>
    <row r="332" spans="9:30" x14ac:dyDescent="0.25">
      <c r="I332" s="21">
        <f t="shared" si="39"/>
        <v>0</v>
      </c>
      <c r="K332" s="25">
        <f t="shared" si="38"/>
        <v>0</v>
      </c>
      <c r="L332" s="16" t="str">
        <f>IF(AND(L$10&gt;=$D332,L$11&lt;=$E332),VLOOKUP($F332,$K$2:Z$8,L$1,"Falsch"),"")</f>
        <v/>
      </c>
      <c r="M332" s="16" t="str">
        <f>IF(AND(M$10&gt;=$D332,M$11&lt;=$E332),VLOOKUP($F332,$K$2:AA$8,M$1,"Falsch"),"")</f>
        <v/>
      </c>
      <c r="N332" s="16" t="str">
        <f>IF(AND(N$10&gt;=$D332,N$11&lt;=$E332),VLOOKUP($F332,$K$2:AB$8,N$1,"Falsch"),"")</f>
        <v/>
      </c>
      <c r="O332" s="16" t="str">
        <f>IF(AND(O$10&gt;=$D332,O$11&lt;=$E332),VLOOKUP($F332,$K$2:AC$8,O$1,"Falsch"),"")</f>
        <v/>
      </c>
      <c r="P332" s="16" t="str">
        <f>IF(AND(P$10&gt;=$D332,P$11&lt;=$E332),VLOOKUP($F332,$K$2:AD$8,P$1,"Falsch"),"")</f>
        <v/>
      </c>
      <c r="Q332" s="16" t="str">
        <f>IF(AND(Q$10&gt;=$D332,Q$11&lt;=$E332),VLOOKUP($F332,$K$2:AE$8,Q$1,"Falsch"),"")</f>
        <v/>
      </c>
      <c r="R332" s="16" t="str">
        <f>IF(AND(R$10&gt;=$D332,R$11&lt;=$E332),VLOOKUP($F332,$K$2:AF$8,R$1,"Falsch"),"")</f>
        <v/>
      </c>
      <c r="S332" s="16" t="str">
        <f>IF(AND(S$10&gt;=$D332,S$11&lt;=$E332),VLOOKUP($F332,$K$2:AG$8,S$1,"Falsch"),"")</f>
        <v/>
      </c>
      <c r="T332" s="16" t="str">
        <f>IF(AND(T$10&gt;=$D332,T$11&lt;=$E332),VLOOKUP($F332,$K$2:AH$8,T$1,"Falsch"),"")</f>
        <v/>
      </c>
      <c r="U332" s="16" t="str">
        <f>IF(AND(U$10&gt;=$D332,U$11&lt;=$E332),VLOOKUP($F332,$K$2:AI$8,U$1,"Falsch"),"")</f>
        <v/>
      </c>
      <c r="V332" s="16" t="str">
        <f>IF(AND(V$10&gt;=$D332,V$11&lt;=$E332),VLOOKUP($F332,$K$2:AJ$8,V$1,"Falsch"),"")</f>
        <v/>
      </c>
      <c r="W332" s="16" t="str">
        <f>IF(AND(W$10&gt;=$D332,W$11&lt;=$E332),VLOOKUP($F332,$K$2:AK$8,W$1,"Falsch"),"")</f>
        <v/>
      </c>
      <c r="X332" s="16" t="str">
        <f>IF(AND(X$10&gt;=$D332,X$11&lt;=$E332),VLOOKUP($F332,$K$2:AL$8,X$1,"Falsch"),"")</f>
        <v/>
      </c>
      <c r="Y332" s="16" t="str">
        <f>IF(AND(Y$10&gt;=$D332,Y$11&lt;=$E332),VLOOKUP($F332,$K$2:AM$8,Y$1,"Falsch"),"")</f>
        <v/>
      </c>
      <c r="Z332" s="16" t="str">
        <f>IF(AND(Z$10&gt;=$D332,Z$11&lt;=$E332),VLOOKUP($F332,$K$2:AN$8,Z$1,"Falsch"),"")</f>
        <v/>
      </c>
      <c r="AA332" s="16" t="str">
        <f>IF(AND(AA$10&gt;=$D332,AA$11&lt;=$E332),VLOOKUP($F332,$K$2:AO$8,AA$1,"Falsch"),"")</f>
        <v/>
      </c>
      <c r="AB332" s="16" t="str">
        <f>IF(AND(AB$10&gt;=$D332,AB$11&lt;=$E332),VLOOKUP($F332,$K$2:AP$8,AB$1,"Falsch"),"")</f>
        <v/>
      </c>
      <c r="AC332" s="16" t="str">
        <f>IF(AND(AC$10&gt;=$D332,AC$11&lt;=$E332),VLOOKUP($F332,$K$2:AQ$8,AC$1,"Falsch"),"")</f>
        <v/>
      </c>
      <c r="AD332" s="16" t="str">
        <f>IF(AND(AD$10&gt;=$D332,AD$11&lt;=$E332),VLOOKUP($F332,$K$2:AR$8,AD$1,"Falsch"),"")</f>
        <v/>
      </c>
    </row>
    <row r="333" spans="9:30" x14ac:dyDescent="0.25">
      <c r="I333" s="21">
        <f t="shared" si="39"/>
        <v>0</v>
      </c>
      <c r="K333" s="25">
        <f t="shared" ref="K333:K368" si="40">SUM(L333:AD333)</f>
        <v>0</v>
      </c>
      <c r="L333" s="16" t="str">
        <f>IF(AND(L$10&gt;=$D333,L$11&lt;=$E333),VLOOKUP($F333,$K$2:Z$8,L$1,"Falsch"),"")</f>
        <v/>
      </c>
      <c r="M333" s="16" t="str">
        <f>IF(AND(M$10&gt;=$D333,M$11&lt;=$E333),VLOOKUP($F333,$K$2:AA$8,M$1,"Falsch"),"")</f>
        <v/>
      </c>
      <c r="N333" s="16" t="str">
        <f>IF(AND(N$10&gt;=$D333,N$11&lt;=$E333),VLOOKUP($F333,$K$2:AB$8,N$1,"Falsch"),"")</f>
        <v/>
      </c>
      <c r="O333" s="16" t="str">
        <f>IF(AND(O$10&gt;=$D333,O$11&lt;=$E333),VLOOKUP($F333,$K$2:AC$8,O$1,"Falsch"),"")</f>
        <v/>
      </c>
      <c r="P333" s="16" t="str">
        <f>IF(AND(P$10&gt;=$D333,P$11&lt;=$E333),VLOOKUP($F333,$K$2:AD$8,P$1,"Falsch"),"")</f>
        <v/>
      </c>
      <c r="Q333" s="16" t="str">
        <f>IF(AND(Q$10&gt;=$D333,Q$11&lt;=$E333),VLOOKUP($F333,$K$2:AE$8,Q$1,"Falsch"),"")</f>
        <v/>
      </c>
      <c r="R333" s="16" t="str">
        <f>IF(AND(R$10&gt;=$D333,R$11&lt;=$E333),VLOOKUP($F333,$K$2:AF$8,R$1,"Falsch"),"")</f>
        <v/>
      </c>
      <c r="S333" s="16" t="str">
        <f>IF(AND(S$10&gt;=$D333,S$11&lt;=$E333),VLOOKUP($F333,$K$2:AG$8,S$1,"Falsch"),"")</f>
        <v/>
      </c>
      <c r="T333" s="16" t="str">
        <f>IF(AND(T$10&gt;=$D333,T$11&lt;=$E333),VLOOKUP($F333,$K$2:AH$8,T$1,"Falsch"),"")</f>
        <v/>
      </c>
      <c r="U333" s="16" t="str">
        <f>IF(AND(U$10&gt;=$D333,U$11&lt;=$E333),VLOOKUP($F333,$K$2:AI$8,U$1,"Falsch"),"")</f>
        <v/>
      </c>
      <c r="V333" s="16" t="str">
        <f>IF(AND(V$10&gt;=$D333,V$11&lt;=$E333),VLOOKUP($F333,$K$2:AJ$8,V$1,"Falsch"),"")</f>
        <v/>
      </c>
      <c r="W333" s="16" t="str">
        <f>IF(AND(W$10&gt;=$D333,W$11&lt;=$E333),VLOOKUP($F333,$K$2:AK$8,W$1,"Falsch"),"")</f>
        <v/>
      </c>
      <c r="X333" s="16" t="str">
        <f>IF(AND(X$10&gt;=$D333,X$11&lt;=$E333),VLOOKUP($F333,$K$2:AL$8,X$1,"Falsch"),"")</f>
        <v/>
      </c>
      <c r="Y333" s="16" t="str">
        <f>IF(AND(Y$10&gt;=$D333,Y$11&lt;=$E333),VLOOKUP($F333,$K$2:AM$8,Y$1,"Falsch"),"")</f>
        <v/>
      </c>
      <c r="Z333" s="16" t="str">
        <f>IF(AND(Z$10&gt;=$D333,Z$11&lt;=$E333),VLOOKUP($F333,$K$2:AN$8,Z$1,"Falsch"),"")</f>
        <v/>
      </c>
      <c r="AA333" s="16" t="str">
        <f>IF(AND(AA$10&gt;=$D333,AA$11&lt;=$E333),VLOOKUP($F333,$K$2:AO$8,AA$1,"Falsch"),"")</f>
        <v/>
      </c>
      <c r="AB333" s="16" t="str">
        <f>IF(AND(AB$10&gt;=$D333,AB$11&lt;=$E333),VLOOKUP($F333,$K$2:AP$8,AB$1,"Falsch"),"")</f>
        <v/>
      </c>
      <c r="AC333" s="16" t="str">
        <f>IF(AND(AC$10&gt;=$D333,AC$11&lt;=$E333),VLOOKUP($F333,$K$2:AQ$8,AC$1,"Falsch"),"")</f>
        <v/>
      </c>
      <c r="AD333" s="16" t="str">
        <f>IF(AND(AD$10&gt;=$D333,AD$11&lt;=$E333),VLOOKUP($F333,$K$2:AR$8,AD$1,"Falsch"),"")</f>
        <v/>
      </c>
    </row>
    <row r="334" spans="9:30" x14ac:dyDescent="0.25">
      <c r="I334" s="21">
        <f t="shared" si="39"/>
        <v>0</v>
      </c>
      <c r="K334" s="25">
        <f t="shared" si="40"/>
        <v>0</v>
      </c>
      <c r="L334" s="16" t="str">
        <f>IF(AND(L$10&gt;=$D334,L$11&lt;=$E334),VLOOKUP($F334,$K$2:Z$8,L$1,"Falsch"),"")</f>
        <v/>
      </c>
      <c r="M334" s="16" t="str">
        <f>IF(AND(M$10&gt;=$D334,M$11&lt;=$E334),VLOOKUP($F334,$K$2:AA$8,M$1,"Falsch"),"")</f>
        <v/>
      </c>
      <c r="N334" s="16" t="str">
        <f>IF(AND(N$10&gt;=$D334,N$11&lt;=$E334),VLOOKUP($F334,$K$2:AB$8,N$1,"Falsch"),"")</f>
        <v/>
      </c>
      <c r="O334" s="16" t="str">
        <f>IF(AND(O$10&gt;=$D334,O$11&lt;=$E334),VLOOKUP($F334,$K$2:AC$8,O$1,"Falsch"),"")</f>
        <v/>
      </c>
      <c r="P334" s="16" t="str">
        <f>IF(AND(P$10&gt;=$D334,P$11&lt;=$E334),VLOOKUP($F334,$K$2:AD$8,P$1,"Falsch"),"")</f>
        <v/>
      </c>
      <c r="Q334" s="16" t="str">
        <f>IF(AND(Q$10&gt;=$D334,Q$11&lt;=$E334),VLOOKUP($F334,$K$2:AE$8,Q$1,"Falsch"),"")</f>
        <v/>
      </c>
      <c r="R334" s="16" t="str">
        <f>IF(AND(R$10&gt;=$D334,R$11&lt;=$E334),VLOOKUP($F334,$K$2:AF$8,R$1,"Falsch"),"")</f>
        <v/>
      </c>
      <c r="S334" s="16" t="str">
        <f>IF(AND(S$10&gt;=$D334,S$11&lt;=$E334),VLOOKUP($F334,$K$2:AG$8,S$1,"Falsch"),"")</f>
        <v/>
      </c>
      <c r="T334" s="16" t="str">
        <f>IF(AND(T$10&gt;=$D334,T$11&lt;=$E334),VLOOKUP($F334,$K$2:AH$8,T$1,"Falsch"),"")</f>
        <v/>
      </c>
      <c r="U334" s="16" t="str">
        <f>IF(AND(U$10&gt;=$D334,U$11&lt;=$E334),VLOOKUP($F334,$K$2:AI$8,U$1,"Falsch"),"")</f>
        <v/>
      </c>
      <c r="V334" s="16" t="str">
        <f>IF(AND(V$10&gt;=$D334,V$11&lt;=$E334),VLOOKUP($F334,$K$2:AJ$8,V$1,"Falsch"),"")</f>
        <v/>
      </c>
      <c r="W334" s="16" t="str">
        <f>IF(AND(W$10&gt;=$D334,W$11&lt;=$E334),VLOOKUP($F334,$K$2:AK$8,W$1,"Falsch"),"")</f>
        <v/>
      </c>
      <c r="X334" s="16" t="str">
        <f>IF(AND(X$10&gt;=$D334,X$11&lt;=$E334),VLOOKUP($F334,$K$2:AL$8,X$1,"Falsch"),"")</f>
        <v/>
      </c>
      <c r="Y334" s="16" t="str">
        <f>IF(AND(Y$10&gt;=$D334,Y$11&lt;=$E334),VLOOKUP($F334,$K$2:AM$8,Y$1,"Falsch"),"")</f>
        <v/>
      </c>
      <c r="Z334" s="16" t="str">
        <f>IF(AND(Z$10&gt;=$D334,Z$11&lt;=$E334),VLOOKUP($F334,$K$2:AN$8,Z$1,"Falsch"),"")</f>
        <v/>
      </c>
      <c r="AA334" s="16" t="str">
        <f>IF(AND(AA$10&gt;=$D334,AA$11&lt;=$E334),VLOOKUP($F334,$K$2:AO$8,AA$1,"Falsch"),"")</f>
        <v/>
      </c>
      <c r="AB334" s="16" t="str">
        <f>IF(AND(AB$10&gt;=$D334,AB$11&lt;=$E334),VLOOKUP($F334,$K$2:AP$8,AB$1,"Falsch"),"")</f>
        <v/>
      </c>
      <c r="AC334" s="16" t="str">
        <f>IF(AND(AC$10&gt;=$D334,AC$11&lt;=$E334),VLOOKUP($F334,$K$2:AQ$8,AC$1,"Falsch"),"")</f>
        <v/>
      </c>
      <c r="AD334" s="16" t="str">
        <f>IF(AND(AD$10&gt;=$D334,AD$11&lt;=$E334),VLOOKUP($F334,$K$2:AR$8,AD$1,"Falsch"),"")</f>
        <v/>
      </c>
    </row>
    <row r="335" spans="9:30" x14ac:dyDescent="0.25">
      <c r="I335" s="21">
        <f t="shared" si="39"/>
        <v>0</v>
      </c>
      <c r="K335" s="25">
        <f t="shared" si="40"/>
        <v>0</v>
      </c>
      <c r="L335" s="16" t="str">
        <f>IF(AND(L$10&gt;=$D335,L$11&lt;=$E335),VLOOKUP($F335,$K$2:Z$8,L$1,"Falsch"),"")</f>
        <v/>
      </c>
      <c r="M335" s="16" t="str">
        <f>IF(AND(M$10&gt;=$D335,M$11&lt;=$E335),VLOOKUP($F335,$K$2:AA$8,M$1,"Falsch"),"")</f>
        <v/>
      </c>
      <c r="N335" s="16" t="str">
        <f>IF(AND(N$10&gt;=$D335,N$11&lt;=$E335),VLOOKUP($F335,$K$2:AB$8,N$1,"Falsch"),"")</f>
        <v/>
      </c>
      <c r="O335" s="16" t="str">
        <f>IF(AND(O$10&gt;=$D335,O$11&lt;=$E335),VLOOKUP($F335,$K$2:AC$8,O$1,"Falsch"),"")</f>
        <v/>
      </c>
      <c r="P335" s="16" t="str">
        <f>IF(AND(P$10&gt;=$D335,P$11&lt;=$E335),VLOOKUP($F335,$K$2:AD$8,P$1,"Falsch"),"")</f>
        <v/>
      </c>
      <c r="Q335" s="16" t="str">
        <f>IF(AND(Q$10&gt;=$D335,Q$11&lt;=$E335),VLOOKUP($F335,$K$2:AE$8,Q$1,"Falsch"),"")</f>
        <v/>
      </c>
      <c r="R335" s="16" t="str">
        <f>IF(AND(R$10&gt;=$D335,R$11&lt;=$E335),VLOOKUP($F335,$K$2:AF$8,R$1,"Falsch"),"")</f>
        <v/>
      </c>
      <c r="S335" s="16" t="str">
        <f>IF(AND(S$10&gt;=$D335,S$11&lt;=$E335),VLOOKUP($F335,$K$2:AG$8,S$1,"Falsch"),"")</f>
        <v/>
      </c>
      <c r="T335" s="16" t="str">
        <f>IF(AND(T$10&gt;=$D335,T$11&lt;=$E335),VLOOKUP($F335,$K$2:AH$8,T$1,"Falsch"),"")</f>
        <v/>
      </c>
      <c r="U335" s="16" t="str">
        <f>IF(AND(U$10&gt;=$D335,U$11&lt;=$E335),VLOOKUP($F335,$K$2:AI$8,U$1,"Falsch"),"")</f>
        <v/>
      </c>
      <c r="V335" s="16" t="str">
        <f>IF(AND(V$10&gt;=$D335,V$11&lt;=$E335),VLOOKUP($F335,$K$2:AJ$8,V$1,"Falsch"),"")</f>
        <v/>
      </c>
      <c r="W335" s="16" t="str">
        <f>IF(AND(W$10&gt;=$D335,W$11&lt;=$E335),VLOOKUP($F335,$K$2:AK$8,W$1,"Falsch"),"")</f>
        <v/>
      </c>
      <c r="X335" s="16" t="str">
        <f>IF(AND(X$10&gt;=$D335,X$11&lt;=$E335),VLOOKUP($F335,$K$2:AL$8,X$1,"Falsch"),"")</f>
        <v/>
      </c>
      <c r="Y335" s="16" t="str">
        <f>IF(AND(Y$10&gt;=$D335,Y$11&lt;=$E335),VLOOKUP($F335,$K$2:AM$8,Y$1,"Falsch"),"")</f>
        <v/>
      </c>
      <c r="Z335" s="16" t="str">
        <f>IF(AND(Z$10&gt;=$D335,Z$11&lt;=$E335),VLOOKUP($F335,$K$2:AN$8,Z$1,"Falsch"),"")</f>
        <v/>
      </c>
      <c r="AA335" s="16" t="str">
        <f>IF(AND(AA$10&gt;=$D335,AA$11&lt;=$E335),VLOOKUP($F335,$K$2:AO$8,AA$1,"Falsch"),"")</f>
        <v/>
      </c>
      <c r="AB335" s="16" t="str">
        <f>IF(AND(AB$10&gt;=$D335,AB$11&lt;=$E335),VLOOKUP($F335,$K$2:AP$8,AB$1,"Falsch"),"")</f>
        <v/>
      </c>
      <c r="AC335" s="16" t="str">
        <f>IF(AND(AC$10&gt;=$D335,AC$11&lt;=$E335),VLOOKUP($F335,$K$2:AQ$8,AC$1,"Falsch"),"")</f>
        <v/>
      </c>
      <c r="AD335" s="16" t="str">
        <f>IF(AND(AD$10&gt;=$D335,AD$11&lt;=$E335),VLOOKUP($F335,$K$2:AR$8,AD$1,"Falsch"),"")</f>
        <v/>
      </c>
    </row>
    <row r="336" spans="9:30" x14ac:dyDescent="0.25">
      <c r="I336" s="21">
        <f t="shared" si="39"/>
        <v>0</v>
      </c>
      <c r="K336" s="25">
        <f t="shared" si="40"/>
        <v>0</v>
      </c>
      <c r="L336" s="16" t="str">
        <f>IF(AND(L$10&gt;=$D336,L$11&lt;=$E336),VLOOKUP($F336,$K$2:Z$8,L$1,"Falsch"),"")</f>
        <v/>
      </c>
      <c r="M336" s="16" t="str">
        <f>IF(AND(M$10&gt;=$D336,M$11&lt;=$E336),VLOOKUP($F336,$K$2:AA$8,M$1,"Falsch"),"")</f>
        <v/>
      </c>
      <c r="N336" s="16" t="str">
        <f>IF(AND(N$10&gt;=$D336,N$11&lt;=$E336),VLOOKUP($F336,$K$2:AB$8,N$1,"Falsch"),"")</f>
        <v/>
      </c>
      <c r="O336" s="16" t="str">
        <f>IF(AND(O$10&gt;=$D336,O$11&lt;=$E336),VLOOKUP($F336,$K$2:AC$8,O$1,"Falsch"),"")</f>
        <v/>
      </c>
      <c r="P336" s="16" t="str">
        <f>IF(AND(P$10&gt;=$D336,P$11&lt;=$E336),VLOOKUP($F336,$K$2:AD$8,P$1,"Falsch"),"")</f>
        <v/>
      </c>
      <c r="Q336" s="16" t="str">
        <f>IF(AND(Q$10&gt;=$D336,Q$11&lt;=$E336),VLOOKUP($F336,$K$2:AE$8,Q$1,"Falsch"),"")</f>
        <v/>
      </c>
      <c r="R336" s="16" t="str">
        <f>IF(AND(R$10&gt;=$D336,R$11&lt;=$E336),VLOOKUP($F336,$K$2:AF$8,R$1,"Falsch"),"")</f>
        <v/>
      </c>
      <c r="S336" s="16" t="str">
        <f>IF(AND(S$10&gt;=$D336,S$11&lt;=$E336),VLOOKUP($F336,$K$2:AG$8,S$1,"Falsch"),"")</f>
        <v/>
      </c>
      <c r="T336" s="16" t="str">
        <f>IF(AND(T$10&gt;=$D336,T$11&lt;=$E336),VLOOKUP($F336,$K$2:AH$8,T$1,"Falsch"),"")</f>
        <v/>
      </c>
      <c r="U336" s="16" t="str">
        <f>IF(AND(U$10&gt;=$D336,U$11&lt;=$E336),VLOOKUP($F336,$K$2:AI$8,U$1,"Falsch"),"")</f>
        <v/>
      </c>
      <c r="V336" s="16" t="str">
        <f>IF(AND(V$10&gt;=$D336,V$11&lt;=$E336),VLOOKUP($F336,$K$2:AJ$8,V$1,"Falsch"),"")</f>
        <v/>
      </c>
      <c r="W336" s="16" t="str">
        <f>IF(AND(W$10&gt;=$D336,W$11&lt;=$E336),VLOOKUP($F336,$K$2:AK$8,W$1,"Falsch"),"")</f>
        <v/>
      </c>
      <c r="X336" s="16" t="str">
        <f>IF(AND(X$10&gt;=$D336,X$11&lt;=$E336),VLOOKUP($F336,$K$2:AL$8,X$1,"Falsch"),"")</f>
        <v/>
      </c>
      <c r="Y336" s="16" t="str">
        <f>IF(AND(Y$10&gt;=$D336,Y$11&lt;=$E336),VLOOKUP($F336,$K$2:AM$8,Y$1,"Falsch"),"")</f>
        <v/>
      </c>
      <c r="Z336" s="16" t="str">
        <f>IF(AND(Z$10&gt;=$D336,Z$11&lt;=$E336),VLOOKUP($F336,$K$2:AN$8,Z$1,"Falsch"),"")</f>
        <v/>
      </c>
      <c r="AA336" s="16" t="str">
        <f>IF(AND(AA$10&gt;=$D336,AA$11&lt;=$E336),VLOOKUP($F336,$K$2:AO$8,AA$1,"Falsch"),"")</f>
        <v/>
      </c>
      <c r="AB336" s="16" t="str">
        <f>IF(AND(AB$10&gt;=$D336,AB$11&lt;=$E336),VLOOKUP($F336,$K$2:AP$8,AB$1,"Falsch"),"")</f>
        <v/>
      </c>
      <c r="AC336" s="16" t="str">
        <f>IF(AND(AC$10&gt;=$D336,AC$11&lt;=$E336),VLOOKUP($F336,$K$2:AQ$8,AC$1,"Falsch"),"")</f>
        <v/>
      </c>
      <c r="AD336" s="16" t="str">
        <f>IF(AND(AD$10&gt;=$D336,AD$11&lt;=$E336),VLOOKUP($F336,$K$2:AR$8,AD$1,"Falsch"),"")</f>
        <v/>
      </c>
    </row>
    <row r="337" spans="9:30" x14ac:dyDescent="0.25">
      <c r="I337" s="21">
        <f t="shared" si="39"/>
        <v>0</v>
      </c>
      <c r="K337" s="25">
        <f t="shared" si="40"/>
        <v>0</v>
      </c>
      <c r="L337" s="16" t="str">
        <f>IF(AND(L$10&gt;=$D337,L$11&lt;=$E337),VLOOKUP($F337,$K$2:Z$8,L$1,"Falsch"),"")</f>
        <v/>
      </c>
      <c r="M337" s="16" t="str">
        <f>IF(AND(M$10&gt;=$D337,M$11&lt;=$E337),VLOOKUP($F337,$K$2:AA$8,M$1,"Falsch"),"")</f>
        <v/>
      </c>
      <c r="N337" s="16" t="str">
        <f>IF(AND(N$10&gt;=$D337,N$11&lt;=$E337),VLOOKUP($F337,$K$2:AB$8,N$1,"Falsch"),"")</f>
        <v/>
      </c>
      <c r="O337" s="16" t="str">
        <f>IF(AND(O$10&gt;=$D337,O$11&lt;=$E337),VLOOKUP($F337,$K$2:AC$8,O$1,"Falsch"),"")</f>
        <v/>
      </c>
      <c r="P337" s="16" t="str">
        <f>IF(AND(P$10&gt;=$D337,P$11&lt;=$E337),VLOOKUP($F337,$K$2:AD$8,P$1,"Falsch"),"")</f>
        <v/>
      </c>
      <c r="Q337" s="16" t="str">
        <f>IF(AND(Q$10&gt;=$D337,Q$11&lt;=$E337),VLOOKUP($F337,$K$2:AE$8,Q$1,"Falsch"),"")</f>
        <v/>
      </c>
      <c r="R337" s="16" t="str">
        <f>IF(AND(R$10&gt;=$D337,R$11&lt;=$E337),VLOOKUP($F337,$K$2:AF$8,R$1,"Falsch"),"")</f>
        <v/>
      </c>
      <c r="S337" s="16" t="str">
        <f>IF(AND(S$10&gt;=$D337,S$11&lt;=$E337),VLOOKUP($F337,$K$2:AG$8,S$1,"Falsch"),"")</f>
        <v/>
      </c>
      <c r="T337" s="16" t="str">
        <f>IF(AND(T$10&gt;=$D337,T$11&lt;=$E337),VLOOKUP($F337,$K$2:AH$8,T$1,"Falsch"),"")</f>
        <v/>
      </c>
      <c r="U337" s="16" t="str">
        <f>IF(AND(U$10&gt;=$D337,U$11&lt;=$E337),VLOOKUP($F337,$K$2:AI$8,U$1,"Falsch"),"")</f>
        <v/>
      </c>
      <c r="V337" s="16" t="str">
        <f>IF(AND(V$10&gt;=$D337,V$11&lt;=$E337),VLOOKUP($F337,$K$2:AJ$8,V$1,"Falsch"),"")</f>
        <v/>
      </c>
      <c r="W337" s="16" t="str">
        <f>IF(AND(W$10&gt;=$D337,W$11&lt;=$E337),VLOOKUP($F337,$K$2:AK$8,W$1,"Falsch"),"")</f>
        <v/>
      </c>
      <c r="X337" s="16" t="str">
        <f>IF(AND(X$10&gt;=$D337,X$11&lt;=$E337),VLOOKUP($F337,$K$2:AL$8,X$1,"Falsch"),"")</f>
        <v/>
      </c>
      <c r="Y337" s="16" t="str">
        <f>IF(AND(Y$10&gt;=$D337,Y$11&lt;=$E337),VLOOKUP($F337,$K$2:AM$8,Y$1,"Falsch"),"")</f>
        <v/>
      </c>
      <c r="Z337" s="16" t="str">
        <f>IF(AND(Z$10&gt;=$D337,Z$11&lt;=$E337),VLOOKUP($F337,$K$2:AN$8,Z$1,"Falsch"),"")</f>
        <v/>
      </c>
      <c r="AA337" s="16" t="str">
        <f>IF(AND(AA$10&gt;=$D337,AA$11&lt;=$E337),VLOOKUP($F337,$K$2:AO$8,AA$1,"Falsch"),"")</f>
        <v/>
      </c>
      <c r="AB337" s="16" t="str">
        <f>IF(AND(AB$10&gt;=$D337,AB$11&lt;=$E337),VLOOKUP($F337,$K$2:AP$8,AB$1,"Falsch"),"")</f>
        <v/>
      </c>
      <c r="AC337" s="16" t="str">
        <f>IF(AND(AC$10&gt;=$D337,AC$11&lt;=$E337),VLOOKUP($F337,$K$2:AQ$8,AC$1,"Falsch"),"")</f>
        <v/>
      </c>
      <c r="AD337" s="16" t="str">
        <f>IF(AND(AD$10&gt;=$D337,AD$11&lt;=$E337),VLOOKUP($F337,$K$2:AR$8,AD$1,"Falsch"),"")</f>
        <v/>
      </c>
    </row>
    <row r="338" spans="9:30" x14ac:dyDescent="0.25">
      <c r="I338" s="21">
        <f t="shared" si="39"/>
        <v>0</v>
      </c>
      <c r="K338" s="25">
        <f t="shared" si="40"/>
        <v>0</v>
      </c>
      <c r="L338" s="16" t="str">
        <f>IF(AND(L$10&gt;=$D338,L$11&lt;=$E338),VLOOKUP($F338,$K$2:Z$8,L$1,"Falsch"),"")</f>
        <v/>
      </c>
      <c r="M338" s="16" t="str">
        <f>IF(AND(M$10&gt;=$D338,M$11&lt;=$E338),VLOOKUP($F338,$K$2:AA$8,M$1,"Falsch"),"")</f>
        <v/>
      </c>
      <c r="N338" s="16" t="str">
        <f>IF(AND(N$10&gt;=$D338,N$11&lt;=$E338),VLOOKUP($F338,$K$2:AB$8,N$1,"Falsch"),"")</f>
        <v/>
      </c>
      <c r="O338" s="16" t="str">
        <f>IF(AND(O$10&gt;=$D338,O$11&lt;=$E338),VLOOKUP($F338,$K$2:AC$8,O$1,"Falsch"),"")</f>
        <v/>
      </c>
      <c r="P338" s="16" t="str">
        <f>IF(AND(P$10&gt;=$D338,P$11&lt;=$E338),VLOOKUP($F338,$K$2:AD$8,P$1,"Falsch"),"")</f>
        <v/>
      </c>
      <c r="Q338" s="16" t="str">
        <f>IF(AND(Q$10&gt;=$D338,Q$11&lt;=$E338),VLOOKUP($F338,$K$2:AE$8,Q$1,"Falsch"),"")</f>
        <v/>
      </c>
      <c r="R338" s="16" t="str">
        <f>IF(AND(R$10&gt;=$D338,R$11&lt;=$E338),VLOOKUP($F338,$K$2:AF$8,R$1,"Falsch"),"")</f>
        <v/>
      </c>
      <c r="S338" s="16" t="str">
        <f>IF(AND(S$10&gt;=$D338,S$11&lt;=$E338),VLOOKUP($F338,$K$2:AG$8,S$1,"Falsch"),"")</f>
        <v/>
      </c>
      <c r="T338" s="16" t="str">
        <f>IF(AND(T$10&gt;=$D338,T$11&lt;=$E338),VLOOKUP($F338,$K$2:AH$8,T$1,"Falsch"),"")</f>
        <v/>
      </c>
      <c r="U338" s="16" t="str">
        <f>IF(AND(U$10&gt;=$D338,U$11&lt;=$E338),VLOOKUP($F338,$K$2:AI$8,U$1,"Falsch"),"")</f>
        <v/>
      </c>
      <c r="V338" s="16" t="str">
        <f>IF(AND(V$10&gt;=$D338,V$11&lt;=$E338),VLOOKUP($F338,$K$2:AJ$8,V$1,"Falsch"),"")</f>
        <v/>
      </c>
      <c r="W338" s="16" t="str">
        <f>IF(AND(W$10&gt;=$D338,W$11&lt;=$E338),VLOOKUP($F338,$K$2:AK$8,W$1,"Falsch"),"")</f>
        <v/>
      </c>
      <c r="X338" s="16" t="str">
        <f>IF(AND(X$10&gt;=$D338,X$11&lt;=$E338),VLOOKUP($F338,$K$2:AL$8,X$1,"Falsch"),"")</f>
        <v/>
      </c>
      <c r="Y338" s="16" t="str">
        <f>IF(AND(Y$10&gt;=$D338,Y$11&lt;=$E338),VLOOKUP($F338,$K$2:AM$8,Y$1,"Falsch"),"")</f>
        <v/>
      </c>
      <c r="Z338" s="16" t="str">
        <f>IF(AND(Z$10&gt;=$D338,Z$11&lt;=$E338),VLOOKUP($F338,$K$2:AN$8,Z$1,"Falsch"),"")</f>
        <v/>
      </c>
      <c r="AA338" s="16" t="str">
        <f>IF(AND(AA$10&gt;=$D338,AA$11&lt;=$E338),VLOOKUP($F338,$K$2:AO$8,AA$1,"Falsch"),"")</f>
        <v/>
      </c>
      <c r="AB338" s="16" t="str">
        <f>IF(AND(AB$10&gt;=$D338,AB$11&lt;=$E338),VLOOKUP($F338,$K$2:AP$8,AB$1,"Falsch"),"")</f>
        <v/>
      </c>
      <c r="AC338" s="16" t="str">
        <f>IF(AND(AC$10&gt;=$D338,AC$11&lt;=$E338),VLOOKUP($F338,$K$2:AQ$8,AC$1,"Falsch"),"")</f>
        <v/>
      </c>
      <c r="AD338" s="16" t="str">
        <f>IF(AND(AD$10&gt;=$D338,AD$11&lt;=$E338),VLOOKUP($F338,$K$2:AR$8,AD$1,"Falsch"),"")</f>
        <v/>
      </c>
    </row>
    <row r="339" spans="9:30" x14ac:dyDescent="0.25">
      <c r="I339" s="21">
        <f t="shared" si="39"/>
        <v>0</v>
      </c>
      <c r="K339" s="25">
        <f t="shared" si="40"/>
        <v>0</v>
      </c>
      <c r="L339" s="16" t="str">
        <f>IF(AND(L$10&gt;=$D339,L$11&lt;=$E339),VLOOKUP($F339,$K$2:Z$8,L$1,"Falsch"),"")</f>
        <v/>
      </c>
      <c r="M339" s="16" t="str">
        <f>IF(AND(M$10&gt;=$D339,M$11&lt;=$E339),VLOOKUP($F339,$K$2:AA$8,M$1,"Falsch"),"")</f>
        <v/>
      </c>
      <c r="N339" s="16" t="str">
        <f>IF(AND(N$10&gt;=$D339,N$11&lt;=$E339),VLOOKUP($F339,$K$2:AB$8,N$1,"Falsch"),"")</f>
        <v/>
      </c>
      <c r="O339" s="16" t="str">
        <f>IF(AND(O$10&gt;=$D339,O$11&lt;=$E339),VLOOKUP($F339,$K$2:AC$8,O$1,"Falsch"),"")</f>
        <v/>
      </c>
      <c r="P339" s="16" t="str">
        <f>IF(AND(P$10&gt;=$D339,P$11&lt;=$E339),VLOOKUP($F339,$K$2:AD$8,P$1,"Falsch"),"")</f>
        <v/>
      </c>
      <c r="Q339" s="16" t="str">
        <f>IF(AND(Q$10&gt;=$D339,Q$11&lt;=$E339),VLOOKUP($F339,$K$2:AE$8,Q$1,"Falsch"),"")</f>
        <v/>
      </c>
      <c r="R339" s="16" t="str">
        <f>IF(AND(R$10&gt;=$D339,R$11&lt;=$E339),VLOOKUP($F339,$K$2:AF$8,R$1,"Falsch"),"")</f>
        <v/>
      </c>
      <c r="S339" s="16" t="str">
        <f>IF(AND(S$10&gt;=$D339,S$11&lt;=$E339),VLOOKUP($F339,$K$2:AG$8,S$1,"Falsch"),"")</f>
        <v/>
      </c>
      <c r="T339" s="16" t="str">
        <f>IF(AND(T$10&gt;=$D339,T$11&lt;=$E339),VLOOKUP($F339,$K$2:AH$8,T$1,"Falsch"),"")</f>
        <v/>
      </c>
      <c r="U339" s="16" t="str">
        <f>IF(AND(U$10&gt;=$D339,U$11&lt;=$E339),VLOOKUP($F339,$K$2:AI$8,U$1,"Falsch"),"")</f>
        <v/>
      </c>
      <c r="V339" s="16" t="str">
        <f>IF(AND(V$10&gt;=$D339,V$11&lt;=$E339),VLOOKUP($F339,$K$2:AJ$8,V$1,"Falsch"),"")</f>
        <v/>
      </c>
      <c r="W339" s="16" t="str">
        <f>IF(AND(W$10&gt;=$D339,W$11&lt;=$E339),VLOOKUP($F339,$K$2:AK$8,W$1,"Falsch"),"")</f>
        <v/>
      </c>
      <c r="X339" s="16" t="str">
        <f>IF(AND(X$10&gt;=$D339,X$11&lt;=$E339),VLOOKUP($F339,$K$2:AL$8,X$1,"Falsch"),"")</f>
        <v/>
      </c>
      <c r="Y339" s="16" t="str">
        <f>IF(AND(Y$10&gt;=$D339,Y$11&lt;=$E339),VLOOKUP($F339,$K$2:AM$8,Y$1,"Falsch"),"")</f>
        <v/>
      </c>
      <c r="Z339" s="16" t="str">
        <f>IF(AND(Z$10&gt;=$D339,Z$11&lt;=$E339),VLOOKUP($F339,$K$2:AN$8,Z$1,"Falsch"),"")</f>
        <v/>
      </c>
      <c r="AA339" s="16" t="str">
        <f>IF(AND(AA$10&gt;=$D339,AA$11&lt;=$E339),VLOOKUP($F339,$K$2:AO$8,AA$1,"Falsch"),"")</f>
        <v/>
      </c>
      <c r="AB339" s="16" t="str">
        <f>IF(AND(AB$10&gt;=$D339,AB$11&lt;=$E339),VLOOKUP($F339,$K$2:AP$8,AB$1,"Falsch"),"")</f>
        <v/>
      </c>
      <c r="AC339" s="16" t="str">
        <f>IF(AND(AC$10&gt;=$D339,AC$11&lt;=$E339),VLOOKUP($F339,$K$2:AQ$8,AC$1,"Falsch"),"")</f>
        <v/>
      </c>
      <c r="AD339" s="16" t="str">
        <f>IF(AND(AD$10&gt;=$D339,AD$11&lt;=$E339),VLOOKUP($F339,$K$2:AR$8,AD$1,"Falsch"),"")</f>
        <v/>
      </c>
    </row>
    <row r="340" spans="9:30" x14ac:dyDescent="0.25">
      <c r="I340" s="21">
        <f t="shared" si="39"/>
        <v>0</v>
      </c>
      <c r="K340" s="25">
        <f t="shared" si="40"/>
        <v>0</v>
      </c>
      <c r="L340" s="16" t="str">
        <f>IF(AND(L$10&gt;=$D340,L$11&lt;=$E340),VLOOKUP($F340,$K$2:Z$8,L$1,"Falsch"),"")</f>
        <v/>
      </c>
      <c r="M340" s="16" t="str">
        <f>IF(AND(M$10&gt;=$D340,M$11&lt;=$E340),VLOOKUP($F340,$K$2:AA$8,M$1,"Falsch"),"")</f>
        <v/>
      </c>
      <c r="N340" s="16" t="str">
        <f>IF(AND(N$10&gt;=$D340,N$11&lt;=$E340),VLOOKUP($F340,$K$2:AB$8,N$1,"Falsch"),"")</f>
        <v/>
      </c>
      <c r="O340" s="16" t="str">
        <f>IF(AND(O$10&gt;=$D340,O$11&lt;=$E340),VLOOKUP($F340,$K$2:AC$8,O$1,"Falsch"),"")</f>
        <v/>
      </c>
      <c r="P340" s="16" t="str">
        <f>IF(AND(P$10&gt;=$D340,P$11&lt;=$E340),VLOOKUP($F340,$K$2:AD$8,P$1,"Falsch"),"")</f>
        <v/>
      </c>
      <c r="Q340" s="16" t="str">
        <f>IF(AND(Q$10&gt;=$D340,Q$11&lt;=$E340),VLOOKUP($F340,$K$2:AE$8,Q$1,"Falsch"),"")</f>
        <v/>
      </c>
      <c r="R340" s="16" t="str">
        <f>IF(AND(R$10&gt;=$D340,R$11&lt;=$E340),VLOOKUP($F340,$K$2:AF$8,R$1,"Falsch"),"")</f>
        <v/>
      </c>
      <c r="S340" s="16" t="str">
        <f>IF(AND(S$10&gt;=$D340,S$11&lt;=$E340),VLOOKUP($F340,$K$2:AG$8,S$1,"Falsch"),"")</f>
        <v/>
      </c>
      <c r="T340" s="16" t="str">
        <f>IF(AND(T$10&gt;=$D340,T$11&lt;=$E340),VLOOKUP($F340,$K$2:AH$8,T$1,"Falsch"),"")</f>
        <v/>
      </c>
      <c r="U340" s="16" t="str">
        <f>IF(AND(U$10&gt;=$D340,U$11&lt;=$E340),VLOOKUP($F340,$K$2:AI$8,U$1,"Falsch"),"")</f>
        <v/>
      </c>
      <c r="V340" s="16" t="str">
        <f>IF(AND(V$10&gt;=$D340,V$11&lt;=$E340),VLOOKUP($F340,$K$2:AJ$8,V$1,"Falsch"),"")</f>
        <v/>
      </c>
      <c r="W340" s="16" t="str">
        <f>IF(AND(W$10&gt;=$D340,W$11&lt;=$E340),VLOOKUP($F340,$K$2:AK$8,W$1,"Falsch"),"")</f>
        <v/>
      </c>
      <c r="X340" s="16" t="str">
        <f>IF(AND(X$10&gt;=$D340,X$11&lt;=$E340),VLOOKUP($F340,$K$2:AL$8,X$1,"Falsch"),"")</f>
        <v/>
      </c>
      <c r="Y340" s="16" t="str">
        <f>IF(AND(Y$10&gt;=$D340,Y$11&lt;=$E340),VLOOKUP($F340,$K$2:AM$8,Y$1,"Falsch"),"")</f>
        <v/>
      </c>
      <c r="Z340" s="16" t="str">
        <f>IF(AND(Z$10&gt;=$D340,Z$11&lt;=$E340),VLOOKUP($F340,$K$2:AN$8,Z$1,"Falsch"),"")</f>
        <v/>
      </c>
      <c r="AA340" s="16" t="str">
        <f>IF(AND(AA$10&gt;=$D340,AA$11&lt;=$E340),VLOOKUP($F340,$K$2:AO$8,AA$1,"Falsch"),"")</f>
        <v/>
      </c>
      <c r="AB340" s="16" t="str">
        <f>IF(AND(AB$10&gt;=$D340,AB$11&lt;=$E340),VLOOKUP($F340,$K$2:AP$8,AB$1,"Falsch"),"")</f>
        <v/>
      </c>
      <c r="AC340" s="16" t="str">
        <f>IF(AND(AC$10&gt;=$D340,AC$11&lt;=$E340),VLOOKUP($F340,$K$2:AQ$8,AC$1,"Falsch"),"")</f>
        <v/>
      </c>
      <c r="AD340" s="16" t="str">
        <f>IF(AND(AD$10&gt;=$D340,AD$11&lt;=$E340),VLOOKUP($F340,$K$2:AR$8,AD$1,"Falsch"),"")</f>
        <v/>
      </c>
    </row>
    <row r="341" spans="9:30" x14ac:dyDescent="0.25">
      <c r="I341" s="21">
        <f t="shared" si="39"/>
        <v>0</v>
      </c>
      <c r="K341" s="25">
        <f t="shared" si="40"/>
        <v>0</v>
      </c>
      <c r="L341" s="16" t="str">
        <f>IF(AND(L$10&gt;=$D341,L$11&lt;=$E341),VLOOKUP($F341,$K$2:Z$8,L$1,"Falsch"),"")</f>
        <v/>
      </c>
      <c r="M341" s="16" t="str">
        <f>IF(AND(M$10&gt;=$D341,M$11&lt;=$E341),VLOOKUP($F341,$K$2:AA$8,M$1,"Falsch"),"")</f>
        <v/>
      </c>
      <c r="N341" s="16" t="str">
        <f>IF(AND(N$10&gt;=$D341,N$11&lt;=$E341),VLOOKUP($F341,$K$2:AB$8,N$1,"Falsch"),"")</f>
        <v/>
      </c>
      <c r="O341" s="16" t="str">
        <f>IF(AND(O$10&gt;=$D341,O$11&lt;=$E341),VLOOKUP($F341,$K$2:AC$8,O$1,"Falsch"),"")</f>
        <v/>
      </c>
      <c r="P341" s="16" t="str">
        <f>IF(AND(P$10&gt;=$D341,P$11&lt;=$E341),VLOOKUP($F341,$K$2:AD$8,P$1,"Falsch"),"")</f>
        <v/>
      </c>
      <c r="Q341" s="16" t="str">
        <f>IF(AND(Q$10&gt;=$D341,Q$11&lt;=$E341),VLOOKUP($F341,$K$2:AE$8,Q$1,"Falsch"),"")</f>
        <v/>
      </c>
      <c r="R341" s="16" t="str">
        <f>IF(AND(R$10&gt;=$D341,R$11&lt;=$E341),VLOOKUP($F341,$K$2:AF$8,R$1,"Falsch"),"")</f>
        <v/>
      </c>
      <c r="S341" s="16" t="str">
        <f>IF(AND(S$10&gt;=$D341,S$11&lt;=$E341),VLOOKUP($F341,$K$2:AG$8,S$1,"Falsch"),"")</f>
        <v/>
      </c>
      <c r="T341" s="16" t="str">
        <f>IF(AND(T$10&gt;=$D341,T$11&lt;=$E341),VLOOKUP($F341,$K$2:AH$8,T$1,"Falsch"),"")</f>
        <v/>
      </c>
      <c r="U341" s="16" t="str">
        <f>IF(AND(U$10&gt;=$D341,U$11&lt;=$E341),VLOOKUP($F341,$K$2:AI$8,U$1,"Falsch"),"")</f>
        <v/>
      </c>
      <c r="V341" s="16" t="str">
        <f>IF(AND(V$10&gt;=$D341,V$11&lt;=$E341),VLOOKUP($F341,$K$2:AJ$8,V$1,"Falsch"),"")</f>
        <v/>
      </c>
      <c r="W341" s="16" t="str">
        <f>IF(AND(W$10&gt;=$D341,W$11&lt;=$E341),VLOOKUP($F341,$K$2:AK$8,W$1,"Falsch"),"")</f>
        <v/>
      </c>
      <c r="X341" s="16" t="str">
        <f>IF(AND(X$10&gt;=$D341,X$11&lt;=$E341),VLOOKUP($F341,$K$2:AL$8,X$1,"Falsch"),"")</f>
        <v/>
      </c>
      <c r="Y341" s="16" t="str">
        <f>IF(AND(Y$10&gt;=$D341,Y$11&lt;=$E341),VLOOKUP($F341,$K$2:AM$8,Y$1,"Falsch"),"")</f>
        <v/>
      </c>
      <c r="Z341" s="16" t="str">
        <f>IF(AND(Z$10&gt;=$D341,Z$11&lt;=$E341),VLOOKUP($F341,$K$2:AN$8,Z$1,"Falsch"),"")</f>
        <v/>
      </c>
      <c r="AA341" s="16" t="str">
        <f>IF(AND(AA$10&gt;=$D341,AA$11&lt;=$E341),VLOOKUP($F341,$K$2:AO$8,AA$1,"Falsch"),"")</f>
        <v/>
      </c>
      <c r="AB341" s="16" t="str">
        <f>IF(AND(AB$10&gt;=$D341,AB$11&lt;=$E341),VLOOKUP($F341,$K$2:AP$8,AB$1,"Falsch"),"")</f>
        <v/>
      </c>
      <c r="AC341" s="16" t="str">
        <f>IF(AND(AC$10&gt;=$D341,AC$11&lt;=$E341),VLOOKUP($F341,$K$2:AQ$8,AC$1,"Falsch"),"")</f>
        <v/>
      </c>
      <c r="AD341" s="16" t="str">
        <f>IF(AND(AD$10&gt;=$D341,AD$11&lt;=$E341),VLOOKUP($F341,$K$2:AR$8,AD$1,"Falsch"),"")</f>
        <v/>
      </c>
    </row>
    <row r="342" spans="9:30" x14ac:dyDescent="0.25">
      <c r="I342" s="21">
        <f t="shared" si="39"/>
        <v>0</v>
      </c>
      <c r="K342" s="25">
        <f t="shared" si="40"/>
        <v>0</v>
      </c>
      <c r="L342" s="16" t="str">
        <f>IF(AND(L$10&gt;=$D342,L$11&lt;=$E342),VLOOKUP($F342,$K$2:Z$8,L$1,"Falsch"),"")</f>
        <v/>
      </c>
      <c r="M342" s="16" t="str">
        <f>IF(AND(M$10&gt;=$D342,M$11&lt;=$E342),VLOOKUP($F342,$K$2:AA$8,M$1,"Falsch"),"")</f>
        <v/>
      </c>
      <c r="N342" s="16" t="str">
        <f>IF(AND(N$10&gt;=$D342,N$11&lt;=$E342),VLOOKUP($F342,$K$2:AB$8,N$1,"Falsch"),"")</f>
        <v/>
      </c>
      <c r="O342" s="16" t="str">
        <f>IF(AND(O$10&gt;=$D342,O$11&lt;=$E342),VLOOKUP($F342,$K$2:AC$8,O$1,"Falsch"),"")</f>
        <v/>
      </c>
      <c r="P342" s="16" t="str">
        <f>IF(AND(P$10&gt;=$D342,P$11&lt;=$E342),VLOOKUP($F342,$K$2:AD$8,P$1,"Falsch"),"")</f>
        <v/>
      </c>
      <c r="Q342" s="16" t="str">
        <f>IF(AND(Q$10&gt;=$D342,Q$11&lt;=$E342),VLOOKUP($F342,$K$2:AE$8,Q$1,"Falsch"),"")</f>
        <v/>
      </c>
      <c r="R342" s="16" t="str">
        <f>IF(AND(R$10&gt;=$D342,R$11&lt;=$E342),VLOOKUP($F342,$K$2:AF$8,R$1,"Falsch"),"")</f>
        <v/>
      </c>
      <c r="S342" s="16" t="str">
        <f>IF(AND(S$10&gt;=$D342,S$11&lt;=$E342),VLOOKUP($F342,$K$2:AG$8,S$1,"Falsch"),"")</f>
        <v/>
      </c>
      <c r="T342" s="16" t="str">
        <f>IF(AND(T$10&gt;=$D342,T$11&lt;=$E342),VLOOKUP($F342,$K$2:AH$8,T$1,"Falsch"),"")</f>
        <v/>
      </c>
      <c r="U342" s="16" t="str">
        <f>IF(AND(U$10&gt;=$D342,U$11&lt;=$E342),VLOOKUP($F342,$K$2:AI$8,U$1,"Falsch"),"")</f>
        <v/>
      </c>
      <c r="V342" s="16" t="str">
        <f>IF(AND(V$10&gt;=$D342,V$11&lt;=$E342),VLOOKUP($F342,$K$2:AJ$8,V$1,"Falsch"),"")</f>
        <v/>
      </c>
      <c r="W342" s="16" t="str">
        <f>IF(AND(W$10&gt;=$D342,W$11&lt;=$E342),VLOOKUP($F342,$K$2:AK$8,W$1,"Falsch"),"")</f>
        <v/>
      </c>
      <c r="X342" s="16" t="str">
        <f>IF(AND(X$10&gt;=$D342,X$11&lt;=$E342),VLOOKUP($F342,$K$2:AL$8,X$1,"Falsch"),"")</f>
        <v/>
      </c>
      <c r="Y342" s="16" t="str">
        <f>IF(AND(Y$10&gt;=$D342,Y$11&lt;=$E342),VLOOKUP($F342,$K$2:AM$8,Y$1,"Falsch"),"")</f>
        <v/>
      </c>
      <c r="Z342" s="16" t="str">
        <f>IF(AND(Z$10&gt;=$D342,Z$11&lt;=$E342),VLOOKUP($F342,$K$2:AN$8,Z$1,"Falsch"),"")</f>
        <v/>
      </c>
      <c r="AA342" s="16" t="str">
        <f>IF(AND(AA$10&gt;=$D342,AA$11&lt;=$E342),VLOOKUP($F342,$K$2:AO$8,AA$1,"Falsch"),"")</f>
        <v/>
      </c>
      <c r="AB342" s="16" t="str">
        <f>IF(AND(AB$10&gt;=$D342,AB$11&lt;=$E342),VLOOKUP($F342,$K$2:AP$8,AB$1,"Falsch"),"")</f>
        <v/>
      </c>
      <c r="AC342" s="16" t="str">
        <f>IF(AND(AC$10&gt;=$D342,AC$11&lt;=$E342),VLOOKUP($F342,$K$2:AQ$8,AC$1,"Falsch"),"")</f>
        <v/>
      </c>
      <c r="AD342" s="16" t="str">
        <f>IF(AND(AD$10&gt;=$D342,AD$11&lt;=$E342),VLOOKUP($F342,$K$2:AR$8,AD$1,"Falsch"),"")</f>
        <v/>
      </c>
    </row>
    <row r="343" spans="9:30" x14ac:dyDescent="0.25">
      <c r="I343" s="21">
        <f t="shared" si="39"/>
        <v>0</v>
      </c>
      <c r="K343" s="25">
        <f t="shared" si="40"/>
        <v>0</v>
      </c>
      <c r="L343" s="16" t="str">
        <f>IF(AND(L$10&gt;=$D343,L$11&lt;=$E343),VLOOKUP($F343,$K$2:Z$8,L$1,"Falsch"),"")</f>
        <v/>
      </c>
      <c r="M343" s="16" t="str">
        <f>IF(AND(M$10&gt;=$D343,M$11&lt;=$E343),VLOOKUP($F343,$K$2:AA$8,M$1,"Falsch"),"")</f>
        <v/>
      </c>
      <c r="N343" s="16" t="str">
        <f>IF(AND(N$10&gt;=$D343,N$11&lt;=$E343),VLOOKUP($F343,$K$2:AB$8,N$1,"Falsch"),"")</f>
        <v/>
      </c>
      <c r="O343" s="16" t="str">
        <f>IF(AND(O$10&gt;=$D343,O$11&lt;=$E343),VLOOKUP($F343,$K$2:AC$8,O$1,"Falsch"),"")</f>
        <v/>
      </c>
      <c r="P343" s="16" t="str">
        <f>IF(AND(P$10&gt;=$D343,P$11&lt;=$E343),VLOOKUP($F343,$K$2:AD$8,P$1,"Falsch"),"")</f>
        <v/>
      </c>
      <c r="Q343" s="16" t="str">
        <f>IF(AND(Q$10&gt;=$D343,Q$11&lt;=$E343),VLOOKUP($F343,$K$2:AE$8,Q$1,"Falsch"),"")</f>
        <v/>
      </c>
      <c r="R343" s="16" t="str">
        <f>IF(AND(R$10&gt;=$D343,R$11&lt;=$E343),VLOOKUP($F343,$K$2:AF$8,R$1,"Falsch"),"")</f>
        <v/>
      </c>
      <c r="S343" s="16" t="str">
        <f>IF(AND(S$10&gt;=$D343,S$11&lt;=$E343),VLOOKUP($F343,$K$2:AG$8,S$1,"Falsch"),"")</f>
        <v/>
      </c>
      <c r="T343" s="16" t="str">
        <f>IF(AND(T$10&gt;=$D343,T$11&lt;=$E343),VLOOKUP($F343,$K$2:AH$8,T$1,"Falsch"),"")</f>
        <v/>
      </c>
      <c r="U343" s="16" t="str">
        <f>IF(AND(U$10&gt;=$D343,U$11&lt;=$E343),VLOOKUP($F343,$K$2:AI$8,U$1,"Falsch"),"")</f>
        <v/>
      </c>
      <c r="V343" s="16" t="str">
        <f>IF(AND(V$10&gt;=$D343,V$11&lt;=$E343),VLOOKUP($F343,$K$2:AJ$8,V$1,"Falsch"),"")</f>
        <v/>
      </c>
      <c r="W343" s="16" t="str">
        <f>IF(AND(W$10&gt;=$D343,W$11&lt;=$E343),VLOOKUP($F343,$K$2:AK$8,W$1,"Falsch"),"")</f>
        <v/>
      </c>
      <c r="X343" s="16" t="str">
        <f>IF(AND(X$10&gt;=$D343,X$11&lt;=$E343),VLOOKUP($F343,$K$2:AL$8,X$1,"Falsch"),"")</f>
        <v/>
      </c>
      <c r="Y343" s="16" t="str">
        <f>IF(AND(Y$10&gt;=$D343,Y$11&lt;=$E343),VLOOKUP($F343,$K$2:AM$8,Y$1,"Falsch"),"")</f>
        <v/>
      </c>
      <c r="Z343" s="16" t="str">
        <f>IF(AND(Z$10&gt;=$D343,Z$11&lt;=$E343),VLOOKUP($F343,$K$2:AN$8,Z$1,"Falsch"),"")</f>
        <v/>
      </c>
      <c r="AA343" s="16" t="str">
        <f>IF(AND(AA$10&gt;=$D343,AA$11&lt;=$E343),VLOOKUP($F343,$K$2:AO$8,AA$1,"Falsch"),"")</f>
        <v/>
      </c>
      <c r="AB343" s="16" t="str">
        <f>IF(AND(AB$10&gt;=$D343,AB$11&lt;=$E343),VLOOKUP($F343,$K$2:AP$8,AB$1,"Falsch"),"")</f>
        <v/>
      </c>
      <c r="AC343" s="16" t="str">
        <f>IF(AND(AC$10&gt;=$D343,AC$11&lt;=$E343),VLOOKUP($F343,$K$2:AQ$8,AC$1,"Falsch"),"")</f>
        <v/>
      </c>
      <c r="AD343" s="16" t="str">
        <f>IF(AND(AD$10&gt;=$D343,AD$11&lt;=$E343),VLOOKUP($F343,$K$2:AR$8,AD$1,"Falsch"),"")</f>
        <v/>
      </c>
    </row>
    <row r="344" spans="9:30" x14ac:dyDescent="0.25">
      <c r="I344" s="21">
        <f t="shared" ref="I344:I368" si="41">E344-D344</f>
        <v>0</v>
      </c>
      <c r="K344" s="25">
        <f t="shared" si="40"/>
        <v>0</v>
      </c>
      <c r="L344" s="16" t="str">
        <f>IF(AND(L$10&gt;=$D344,L$11&lt;=$E344),VLOOKUP($F344,$K$2:Z$8,L$1,"Falsch"),"")</f>
        <v/>
      </c>
      <c r="M344" s="16" t="str">
        <f>IF(AND(M$10&gt;=$D344,M$11&lt;=$E344),VLOOKUP($F344,$K$2:AA$8,M$1,"Falsch"),"")</f>
        <v/>
      </c>
      <c r="N344" s="16" t="str">
        <f>IF(AND(N$10&gt;=$D344,N$11&lt;=$E344),VLOOKUP($F344,$K$2:AB$8,N$1,"Falsch"),"")</f>
        <v/>
      </c>
      <c r="O344" s="16" t="str">
        <f>IF(AND(O$10&gt;=$D344,O$11&lt;=$E344),VLOOKUP($F344,$K$2:AC$8,O$1,"Falsch"),"")</f>
        <v/>
      </c>
      <c r="P344" s="16" t="str">
        <f>IF(AND(P$10&gt;=$D344,P$11&lt;=$E344),VLOOKUP($F344,$K$2:AD$8,P$1,"Falsch"),"")</f>
        <v/>
      </c>
      <c r="Q344" s="16" t="str">
        <f>IF(AND(Q$10&gt;=$D344,Q$11&lt;=$E344),VLOOKUP($F344,$K$2:AE$8,Q$1,"Falsch"),"")</f>
        <v/>
      </c>
      <c r="R344" s="16" t="str">
        <f>IF(AND(R$10&gt;=$D344,R$11&lt;=$E344),VLOOKUP($F344,$K$2:AF$8,R$1,"Falsch"),"")</f>
        <v/>
      </c>
      <c r="S344" s="16" t="str">
        <f>IF(AND(S$10&gt;=$D344,S$11&lt;=$E344),VLOOKUP($F344,$K$2:AG$8,S$1,"Falsch"),"")</f>
        <v/>
      </c>
      <c r="T344" s="16" t="str">
        <f>IF(AND(T$10&gt;=$D344,T$11&lt;=$E344),VLOOKUP($F344,$K$2:AH$8,T$1,"Falsch"),"")</f>
        <v/>
      </c>
      <c r="U344" s="16" t="str">
        <f>IF(AND(U$10&gt;=$D344,U$11&lt;=$E344),VLOOKUP($F344,$K$2:AI$8,U$1,"Falsch"),"")</f>
        <v/>
      </c>
      <c r="V344" s="16" t="str">
        <f>IF(AND(V$10&gt;=$D344,V$11&lt;=$E344),VLOOKUP($F344,$K$2:AJ$8,V$1,"Falsch"),"")</f>
        <v/>
      </c>
      <c r="W344" s="16" t="str">
        <f>IF(AND(W$10&gt;=$D344,W$11&lt;=$E344),VLOOKUP($F344,$K$2:AK$8,W$1,"Falsch"),"")</f>
        <v/>
      </c>
      <c r="X344" s="16" t="str">
        <f>IF(AND(X$10&gt;=$D344,X$11&lt;=$E344),VLOOKUP($F344,$K$2:AL$8,X$1,"Falsch"),"")</f>
        <v/>
      </c>
      <c r="Y344" s="16" t="str">
        <f>IF(AND(Y$10&gt;=$D344,Y$11&lt;=$E344),VLOOKUP($F344,$K$2:AM$8,Y$1,"Falsch"),"")</f>
        <v/>
      </c>
      <c r="Z344" s="16" t="str">
        <f>IF(AND(Z$10&gt;=$D344,Z$11&lt;=$E344),VLOOKUP($F344,$K$2:AN$8,Z$1,"Falsch"),"")</f>
        <v/>
      </c>
      <c r="AA344" s="16" t="str">
        <f>IF(AND(AA$10&gt;=$D344,AA$11&lt;=$E344),VLOOKUP($F344,$K$2:AO$8,AA$1,"Falsch"),"")</f>
        <v/>
      </c>
      <c r="AB344" s="16" t="str">
        <f>IF(AND(AB$10&gt;=$D344,AB$11&lt;=$E344),VLOOKUP($F344,$K$2:AP$8,AB$1,"Falsch"),"")</f>
        <v/>
      </c>
      <c r="AC344" s="16" t="str">
        <f>IF(AND(AC$10&gt;=$D344,AC$11&lt;=$E344),VLOOKUP($F344,$K$2:AQ$8,AC$1,"Falsch"),"")</f>
        <v/>
      </c>
      <c r="AD344" s="16" t="str">
        <f>IF(AND(AD$10&gt;=$D344,AD$11&lt;=$E344),VLOOKUP($F344,$K$2:AR$8,AD$1,"Falsch"),"")</f>
        <v/>
      </c>
    </row>
    <row r="345" spans="9:30" x14ac:dyDescent="0.25">
      <c r="I345" s="21">
        <f t="shared" si="41"/>
        <v>0</v>
      </c>
      <c r="K345" s="25">
        <f t="shared" si="40"/>
        <v>0</v>
      </c>
      <c r="L345" s="16" t="str">
        <f>IF(AND(L$10&gt;=$D345,L$11&lt;=$E345),VLOOKUP($F345,$K$2:Z$8,L$1,"Falsch"),"")</f>
        <v/>
      </c>
      <c r="M345" s="16" t="str">
        <f>IF(AND(M$10&gt;=$D345,M$11&lt;=$E345),VLOOKUP($F345,$K$2:AA$8,M$1,"Falsch"),"")</f>
        <v/>
      </c>
      <c r="N345" s="16" t="str">
        <f>IF(AND(N$10&gt;=$D345,N$11&lt;=$E345),VLOOKUP($F345,$K$2:AB$8,N$1,"Falsch"),"")</f>
        <v/>
      </c>
      <c r="O345" s="16" t="str">
        <f>IF(AND(O$10&gt;=$D345,O$11&lt;=$E345),VLOOKUP($F345,$K$2:AC$8,O$1,"Falsch"),"")</f>
        <v/>
      </c>
      <c r="P345" s="16" t="str">
        <f>IF(AND(P$10&gt;=$D345,P$11&lt;=$E345),VLOOKUP($F345,$K$2:AD$8,P$1,"Falsch"),"")</f>
        <v/>
      </c>
      <c r="Q345" s="16" t="str">
        <f>IF(AND(Q$10&gt;=$D345,Q$11&lt;=$E345),VLOOKUP($F345,$K$2:AE$8,Q$1,"Falsch"),"")</f>
        <v/>
      </c>
      <c r="R345" s="16" t="str">
        <f>IF(AND(R$10&gt;=$D345,R$11&lt;=$E345),VLOOKUP($F345,$K$2:AF$8,R$1,"Falsch"),"")</f>
        <v/>
      </c>
      <c r="S345" s="16" t="str">
        <f>IF(AND(S$10&gt;=$D345,S$11&lt;=$E345),VLOOKUP($F345,$K$2:AG$8,S$1,"Falsch"),"")</f>
        <v/>
      </c>
      <c r="T345" s="16" t="str">
        <f>IF(AND(T$10&gt;=$D345,T$11&lt;=$E345),VLOOKUP($F345,$K$2:AH$8,T$1,"Falsch"),"")</f>
        <v/>
      </c>
      <c r="U345" s="16" t="str">
        <f>IF(AND(U$10&gt;=$D345,U$11&lt;=$E345),VLOOKUP($F345,$K$2:AI$8,U$1,"Falsch"),"")</f>
        <v/>
      </c>
      <c r="V345" s="16" t="str">
        <f>IF(AND(V$10&gt;=$D345,V$11&lt;=$E345),VLOOKUP($F345,$K$2:AJ$8,V$1,"Falsch"),"")</f>
        <v/>
      </c>
      <c r="W345" s="16" t="str">
        <f>IF(AND(W$10&gt;=$D345,W$11&lt;=$E345),VLOOKUP($F345,$K$2:AK$8,W$1,"Falsch"),"")</f>
        <v/>
      </c>
      <c r="X345" s="16" t="str">
        <f>IF(AND(X$10&gt;=$D345,X$11&lt;=$E345),VLOOKUP($F345,$K$2:AL$8,X$1,"Falsch"),"")</f>
        <v/>
      </c>
      <c r="Y345" s="16" t="str">
        <f>IF(AND(Y$10&gt;=$D345,Y$11&lt;=$E345),VLOOKUP($F345,$K$2:AM$8,Y$1,"Falsch"),"")</f>
        <v/>
      </c>
      <c r="Z345" s="16" t="str">
        <f>IF(AND(Z$10&gt;=$D345,Z$11&lt;=$E345),VLOOKUP($F345,$K$2:AN$8,Z$1,"Falsch"),"")</f>
        <v/>
      </c>
      <c r="AA345" s="16" t="str">
        <f>IF(AND(AA$10&gt;=$D345,AA$11&lt;=$E345),VLOOKUP($F345,$K$2:AO$8,AA$1,"Falsch"),"")</f>
        <v/>
      </c>
      <c r="AB345" s="16" t="str">
        <f>IF(AND(AB$10&gt;=$D345,AB$11&lt;=$E345),VLOOKUP($F345,$K$2:AP$8,AB$1,"Falsch"),"")</f>
        <v/>
      </c>
      <c r="AC345" s="16" t="str">
        <f>IF(AND(AC$10&gt;=$D345,AC$11&lt;=$E345),VLOOKUP($F345,$K$2:AQ$8,AC$1,"Falsch"),"")</f>
        <v/>
      </c>
      <c r="AD345" s="16" t="str">
        <f>IF(AND(AD$10&gt;=$D345,AD$11&lt;=$E345),VLOOKUP($F345,$K$2:AR$8,AD$1,"Falsch"),"")</f>
        <v/>
      </c>
    </row>
    <row r="346" spans="9:30" x14ac:dyDescent="0.25">
      <c r="I346" s="21">
        <f t="shared" si="41"/>
        <v>0</v>
      </c>
      <c r="K346" s="25">
        <f t="shared" si="40"/>
        <v>0</v>
      </c>
      <c r="L346" s="16" t="str">
        <f>IF(AND(L$10&gt;=$D346,L$11&lt;=$E346),VLOOKUP($F346,$K$2:Z$8,L$1,"Falsch"),"")</f>
        <v/>
      </c>
      <c r="M346" s="16" t="str">
        <f>IF(AND(M$10&gt;=$D346,M$11&lt;=$E346),VLOOKUP($F346,$K$2:AA$8,M$1,"Falsch"),"")</f>
        <v/>
      </c>
      <c r="N346" s="16" t="str">
        <f>IF(AND(N$10&gt;=$D346,N$11&lt;=$E346),VLOOKUP($F346,$K$2:AB$8,N$1,"Falsch"),"")</f>
        <v/>
      </c>
      <c r="O346" s="16" t="str">
        <f>IF(AND(O$10&gt;=$D346,O$11&lt;=$E346),VLOOKUP($F346,$K$2:AC$8,O$1,"Falsch"),"")</f>
        <v/>
      </c>
      <c r="P346" s="16" t="str">
        <f>IF(AND(P$10&gt;=$D346,P$11&lt;=$E346),VLOOKUP($F346,$K$2:AD$8,P$1,"Falsch"),"")</f>
        <v/>
      </c>
      <c r="Q346" s="16" t="str">
        <f>IF(AND(Q$10&gt;=$D346,Q$11&lt;=$E346),VLOOKUP($F346,$K$2:AE$8,Q$1,"Falsch"),"")</f>
        <v/>
      </c>
      <c r="R346" s="16" t="str">
        <f>IF(AND(R$10&gt;=$D346,R$11&lt;=$E346),VLOOKUP($F346,$K$2:AF$8,R$1,"Falsch"),"")</f>
        <v/>
      </c>
      <c r="S346" s="16" t="str">
        <f>IF(AND(S$10&gt;=$D346,S$11&lt;=$E346),VLOOKUP($F346,$K$2:AG$8,S$1,"Falsch"),"")</f>
        <v/>
      </c>
      <c r="T346" s="16" t="str">
        <f>IF(AND(T$10&gt;=$D346,T$11&lt;=$E346),VLOOKUP($F346,$K$2:AH$8,T$1,"Falsch"),"")</f>
        <v/>
      </c>
      <c r="U346" s="16" t="str">
        <f>IF(AND(U$10&gt;=$D346,U$11&lt;=$E346),VLOOKUP($F346,$K$2:AI$8,U$1,"Falsch"),"")</f>
        <v/>
      </c>
      <c r="V346" s="16" t="str">
        <f>IF(AND(V$10&gt;=$D346,V$11&lt;=$E346),VLOOKUP($F346,$K$2:AJ$8,V$1,"Falsch"),"")</f>
        <v/>
      </c>
      <c r="W346" s="16" t="str">
        <f>IF(AND(W$10&gt;=$D346,W$11&lt;=$E346),VLOOKUP($F346,$K$2:AK$8,W$1,"Falsch"),"")</f>
        <v/>
      </c>
      <c r="X346" s="16" t="str">
        <f>IF(AND(X$10&gt;=$D346,X$11&lt;=$E346),VLOOKUP($F346,$K$2:AL$8,X$1,"Falsch"),"")</f>
        <v/>
      </c>
      <c r="Y346" s="16" t="str">
        <f>IF(AND(Y$10&gt;=$D346,Y$11&lt;=$E346),VLOOKUP($F346,$K$2:AM$8,Y$1,"Falsch"),"")</f>
        <v/>
      </c>
      <c r="Z346" s="16" t="str">
        <f>IF(AND(Z$10&gt;=$D346,Z$11&lt;=$E346),VLOOKUP($F346,$K$2:AN$8,Z$1,"Falsch"),"")</f>
        <v/>
      </c>
      <c r="AA346" s="16" t="str">
        <f>IF(AND(AA$10&gt;=$D346,AA$11&lt;=$E346),VLOOKUP($F346,$K$2:AO$8,AA$1,"Falsch"),"")</f>
        <v/>
      </c>
      <c r="AB346" s="16" t="str">
        <f>IF(AND(AB$10&gt;=$D346,AB$11&lt;=$E346),VLOOKUP($F346,$K$2:AP$8,AB$1,"Falsch"),"")</f>
        <v/>
      </c>
      <c r="AC346" s="16" t="str">
        <f>IF(AND(AC$10&gt;=$D346,AC$11&lt;=$E346),VLOOKUP($F346,$K$2:AQ$8,AC$1,"Falsch"),"")</f>
        <v/>
      </c>
      <c r="AD346" s="16" t="str">
        <f>IF(AND(AD$10&gt;=$D346,AD$11&lt;=$E346),VLOOKUP($F346,$K$2:AR$8,AD$1,"Falsch"),"")</f>
        <v/>
      </c>
    </row>
    <row r="347" spans="9:30" x14ac:dyDescent="0.25">
      <c r="I347" s="21">
        <f t="shared" si="41"/>
        <v>0</v>
      </c>
      <c r="K347" s="25">
        <f t="shared" si="40"/>
        <v>0</v>
      </c>
      <c r="L347" s="16" t="str">
        <f>IF(AND(L$10&gt;=$D347,L$11&lt;=$E347),VLOOKUP($F347,$K$2:Z$8,L$1,"Falsch"),"")</f>
        <v/>
      </c>
      <c r="M347" s="16" t="str">
        <f>IF(AND(M$10&gt;=$D347,M$11&lt;=$E347),VLOOKUP($F347,$K$2:AA$8,M$1,"Falsch"),"")</f>
        <v/>
      </c>
      <c r="N347" s="16" t="str">
        <f>IF(AND(N$10&gt;=$D347,N$11&lt;=$E347),VLOOKUP($F347,$K$2:AB$8,N$1,"Falsch"),"")</f>
        <v/>
      </c>
      <c r="O347" s="16" t="str">
        <f>IF(AND(O$10&gt;=$D347,O$11&lt;=$E347),VLOOKUP($F347,$K$2:AC$8,O$1,"Falsch"),"")</f>
        <v/>
      </c>
      <c r="P347" s="16" t="str">
        <f>IF(AND(P$10&gt;=$D347,P$11&lt;=$E347),VLOOKUP($F347,$K$2:AD$8,P$1,"Falsch"),"")</f>
        <v/>
      </c>
      <c r="Q347" s="16" t="str">
        <f>IF(AND(Q$10&gt;=$D347,Q$11&lt;=$E347),VLOOKUP($F347,$K$2:AE$8,Q$1,"Falsch"),"")</f>
        <v/>
      </c>
      <c r="R347" s="16" t="str">
        <f>IF(AND(R$10&gt;=$D347,R$11&lt;=$E347),VLOOKUP($F347,$K$2:AF$8,R$1,"Falsch"),"")</f>
        <v/>
      </c>
      <c r="S347" s="16" t="str">
        <f>IF(AND(S$10&gt;=$D347,S$11&lt;=$E347),VLOOKUP($F347,$K$2:AG$8,S$1,"Falsch"),"")</f>
        <v/>
      </c>
      <c r="T347" s="16" t="str">
        <f>IF(AND(T$10&gt;=$D347,T$11&lt;=$E347),VLOOKUP($F347,$K$2:AH$8,T$1,"Falsch"),"")</f>
        <v/>
      </c>
      <c r="U347" s="16" t="str">
        <f>IF(AND(U$10&gt;=$D347,U$11&lt;=$E347),VLOOKUP($F347,$K$2:AI$8,U$1,"Falsch"),"")</f>
        <v/>
      </c>
      <c r="V347" s="16" t="str">
        <f>IF(AND(V$10&gt;=$D347,V$11&lt;=$E347),VLOOKUP($F347,$K$2:AJ$8,V$1,"Falsch"),"")</f>
        <v/>
      </c>
      <c r="W347" s="16" t="str">
        <f>IF(AND(W$10&gt;=$D347,W$11&lt;=$E347),VLOOKUP($F347,$K$2:AK$8,W$1,"Falsch"),"")</f>
        <v/>
      </c>
      <c r="X347" s="16" t="str">
        <f>IF(AND(X$10&gt;=$D347,X$11&lt;=$E347),VLOOKUP($F347,$K$2:AL$8,X$1,"Falsch"),"")</f>
        <v/>
      </c>
      <c r="Y347" s="16" t="str">
        <f>IF(AND(Y$10&gt;=$D347,Y$11&lt;=$E347),VLOOKUP($F347,$K$2:AM$8,Y$1,"Falsch"),"")</f>
        <v/>
      </c>
      <c r="Z347" s="16" t="str">
        <f>IF(AND(Z$10&gt;=$D347,Z$11&lt;=$E347),VLOOKUP($F347,$K$2:AN$8,Z$1,"Falsch"),"")</f>
        <v/>
      </c>
      <c r="AA347" s="16" t="str">
        <f>IF(AND(AA$10&gt;=$D347,AA$11&lt;=$E347),VLOOKUP($F347,$K$2:AO$8,AA$1,"Falsch"),"")</f>
        <v/>
      </c>
      <c r="AB347" s="16" t="str">
        <f>IF(AND(AB$10&gt;=$D347,AB$11&lt;=$E347),VLOOKUP($F347,$K$2:AP$8,AB$1,"Falsch"),"")</f>
        <v/>
      </c>
      <c r="AC347" s="16" t="str">
        <f>IF(AND(AC$10&gt;=$D347,AC$11&lt;=$E347),VLOOKUP($F347,$K$2:AQ$8,AC$1,"Falsch"),"")</f>
        <v/>
      </c>
      <c r="AD347" s="16" t="str">
        <f>IF(AND(AD$10&gt;=$D347,AD$11&lt;=$E347),VLOOKUP($F347,$K$2:AR$8,AD$1,"Falsch"),"")</f>
        <v/>
      </c>
    </row>
    <row r="348" spans="9:30" x14ac:dyDescent="0.25">
      <c r="I348" s="21">
        <f t="shared" si="41"/>
        <v>0</v>
      </c>
      <c r="K348" s="25">
        <f t="shared" si="40"/>
        <v>0</v>
      </c>
      <c r="L348" s="16" t="str">
        <f>IF(AND(L$10&gt;=$D348,L$11&lt;=$E348),VLOOKUP($F348,$K$2:Z$8,L$1,"Falsch"),"")</f>
        <v/>
      </c>
      <c r="M348" s="16" t="str">
        <f>IF(AND(M$10&gt;=$D348,M$11&lt;=$E348),VLOOKUP($F348,$K$2:AA$8,M$1,"Falsch"),"")</f>
        <v/>
      </c>
      <c r="N348" s="16" t="str">
        <f>IF(AND(N$10&gt;=$D348,N$11&lt;=$E348),VLOOKUP($F348,$K$2:AB$8,N$1,"Falsch"),"")</f>
        <v/>
      </c>
      <c r="O348" s="16" t="str">
        <f>IF(AND(O$10&gt;=$D348,O$11&lt;=$E348),VLOOKUP($F348,$K$2:AC$8,O$1,"Falsch"),"")</f>
        <v/>
      </c>
      <c r="P348" s="16" t="str">
        <f>IF(AND(P$10&gt;=$D348,P$11&lt;=$E348),VLOOKUP($F348,$K$2:AD$8,P$1,"Falsch"),"")</f>
        <v/>
      </c>
      <c r="Q348" s="16" t="str">
        <f>IF(AND(Q$10&gt;=$D348,Q$11&lt;=$E348),VLOOKUP($F348,$K$2:AE$8,Q$1,"Falsch"),"")</f>
        <v/>
      </c>
      <c r="R348" s="16" t="str">
        <f>IF(AND(R$10&gt;=$D348,R$11&lt;=$E348),VLOOKUP($F348,$K$2:AF$8,R$1,"Falsch"),"")</f>
        <v/>
      </c>
      <c r="S348" s="16" t="str">
        <f>IF(AND(S$10&gt;=$D348,S$11&lt;=$E348),VLOOKUP($F348,$K$2:AG$8,S$1,"Falsch"),"")</f>
        <v/>
      </c>
      <c r="T348" s="16" t="str">
        <f>IF(AND(T$10&gt;=$D348,T$11&lt;=$E348),VLOOKUP($F348,$K$2:AH$8,T$1,"Falsch"),"")</f>
        <v/>
      </c>
      <c r="U348" s="16" t="str">
        <f>IF(AND(U$10&gt;=$D348,U$11&lt;=$E348),VLOOKUP($F348,$K$2:AI$8,U$1,"Falsch"),"")</f>
        <v/>
      </c>
      <c r="V348" s="16" t="str">
        <f>IF(AND(V$10&gt;=$D348,V$11&lt;=$E348),VLOOKUP($F348,$K$2:AJ$8,V$1,"Falsch"),"")</f>
        <v/>
      </c>
      <c r="W348" s="16" t="str">
        <f>IF(AND(W$10&gt;=$D348,W$11&lt;=$E348),VLOOKUP($F348,$K$2:AK$8,W$1,"Falsch"),"")</f>
        <v/>
      </c>
      <c r="X348" s="16" t="str">
        <f>IF(AND(X$10&gt;=$D348,X$11&lt;=$E348),VLOOKUP($F348,$K$2:AL$8,X$1,"Falsch"),"")</f>
        <v/>
      </c>
      <c r="Y348" s="16" t="str">
        <f>IF(AND(Y$10&gt;=$D348,Y$11&lt;=$E348),VLOOKUP($F348,$K$2:AM$8,Y$1,"Falsch"),"")</f>
        <v/>
      </c>
      <c r="Z348" s="16" t="str">
        <f>IF(AND(Z$10&gt;=$D348,Z$11&lt;=$E348),VLOOKUP($F348,$K$2:AN$8,Z$1,"Falsch"),"")</f>
        <v/>
      </c>
      <c r="AA348" s="16" t="str">
        <f>IF(AND(AA$10&gt;=$D348,AA$11&lt;=$E348),VLOOKUP($F348,$K$2:AO$8,AA$1,"Falsch"),"")</f>
        <v/>
      </c>
      <c r="AB348" s="16" t="str">
        <f>IF(AND(AB$10&gt;=$D348,AB$11&lt;=$E348),VLOOKUP($F348,$K$2:AP$8,AB$1,"Falsch"),"")</f>
        <v/>
      </c>
      <c r="AC348" s="16" t="str">
        <f>IF(AND(AC$10&gt;=$D348,AC$11&lt;=$E348),VLOOKUP($F348,$K$2:AQ$8,AC$1,"Falsch"),"")</f>
        <v/>
      </c>
      <c r="AD348" s="16" t="str">
        <f>IF(AND(AD$10&gt;=$D348,AD$11&lt;=$E348),VLOOKUP($F348,$K$2:AR$8,AD$1,"Falsch"),"")</f>
        <v/>
      </c>
    </row>
    <row r="349" spans="9:30" x14ac:dyDescent="0.25">
      <c r="I349" s="21">
        <f t="shared" si="41"/>
        <v>0</v>
      </c>
      <c r="K349" s="25">
        <f t="shared" si="40"/>
        <v>0</v>
      </c>
      <c r="L349" s="16" t="str">
        <f>IF(AND(L$10&gt;=$D349,L$11&lt;=$E349),VLOOKUP($F349,$K$2:Z$8,L$1,"Falsch"),"")</f>
        <v/>
      </c>
      <c r="M349" s="16" t="str">
        <f>IF(AND(M$10&gt;=$D349,M$11&lt;=$E349),VLOOKUP($F349,$K$2:AA$8,M$1,"Falsch"),"")</f>
        <v/>
      </c>
      <c r="N349" s="16" t="str">
        <f>IF(AND(N$10&gt;=$D349,N$11&lt;=$E349),VLOOKUP($F349,$K$2:AB$8,N$1,"Falsch"),"")</f>
        <v/>
      </c>
      <c r="O349" s="16" t="str">
        <f>IF(AND(O$10&gt;=$D349,O$11&lt;=$E349),VLOOKUP($F349,$K$2:AC$8,O$1,"Falsch"),"")</f>
        <v/>
      </c>
      <c r="P349" s="16" t="str">
        <f>IF(AND(P$10&gt;=$D349,P$11&lt;=$E349),VLOOKUP($F349,$K$2:AD$8,P$1,"Falsch"),"")</f>
        <v/>
      </c>
      <c r="Q349" s="16" t="str">
        <f>IF(AND(Q$10&gt;=$D349,Q$11&lt;=$E349),VLOOKUP($F349,$K$2:AE$8,Q$1,"Falsch"),"")</f>
        <v/>
      </c>
      <c r="R349" s="16" t="str">
        <f>IF(AND(R$10&gt;=$D349,R$11&lt;=$E349),VLOOKUP($F349,$K$2:AF$8,R$1,"Falsch"),"")</f>
        <v/>
      </c>
      <c r="S349" s="16" t="str">
        <f>IF(AND(S$10&gt;=$D349,S$11&lt;=$E349),VLOOKUP($F349,$K$2:AG$8,S$1,"Falsch"),"")</f>
        <v/>
      </c>
      <c r="T349" s="16" t="str">
        <f>IF(AND(T$10&gt;=$D349,T$11&lt;=$E349),VLOOKUP($F349,$K$2:AH$8,T$1,"Falsch"),"")</f>
        <v/>
      </c>
      <c r="U349" s="16" t="str">
        <f>IF(AND(U$10&gt;=$D349,U$11&lt;=$E349),VLOOKUP($F349,$K$2:AI$8,U$1,"Falsch"),"")</f>
        <v/>
      </c>
      <c r="V349" s="16" t="str">
        <f>IF(AND(V$10&gt;=$D349,V$11&lt;=$E349),VLOOKUP($F349,$K$2:AJ$8,V$1,"Falsch"),"")</f>
        <v/>
      </c>
      <c r="W349" s="16" t="str">
        <f>IF(AND(W$10&gt;=$D349,W$11&lt;=$E349),VLOOKUP($F349,$K$2:AK$8,W$1,"Falsch"),"")</f>
        <v/>
      </c>
      <c r="X349" s="16" t="str">
        <f>IF(AND(X$10&gt;=$D349,X$11&lt;=$E349),VLOOKUP($F349,$K$2:AL$8,X$1,"Falsch"),"")</f>
        <v/>
      </c>
      <c r="Y349" s="16" t="str">
        <f>IF(AND(Y$10&gt;=$D349,Y$11&lt;=$E349),VLOOKUP($F349,$K$2:AM$8,Y$1,"Falsch"),"")</f>
        <v/>
      </c>
      <c r="Z349" s="16" t="str">
        <f>IF(AND(Z$10&gt;=$D349,Z$11&lt;=$E349),VLOOKUP($F349,$K$2:AN$8,Z$1,"Falsch"),"")</f>
        <v/>
      </c>
      <c r="AA349" s="16" t="str">
        <f>IF(AND(AA$10&gt;=$D349,AA$11&lt;=$E349),VLOOKUP($F349,$K$2:AO$8,AA$1,"Falsch"),"")</f>
        <v/>
      </c>
      <c r="AB349" s="16" t="str">
        <f>IF(AND(AB$10&gt;=$D349,AB$11&lt;=$E349),VLOOKUP($F349,$K$2:AP$8,AB$1,"Falsch"),"")</f>
        <v/>
      </c>
      <c r="AC349" s="16" t="str">
        <f>IF(AND(AC$10&gt;=$D349,AC$11&lt;=$E349),VLOOKUP($F349,$K$2:AQ$8,AC$1,"Falsch"),"")</f>
        <v/>
      </c>
      <c r="AD349" s="16" t="str">
        <f>IF(AND(AD$10&gt;=$D349,AD$11&lt;=$E349),VLOOKUP($F349,$K$2:AR$8,AD$1,"Falsch"),"")</f>
        <v/>
      </c>
    </row>
    <row r="350" spans="9:30" x14ac:dyDescent="0.25">
      <c r="I350" s="21">
        <f t="shared" si="41"/>
        <v>0</v>
      </c>
      <c r="K350" s="25">
        <f t="shared" si="40"/>
        <v>0</v>
      </c>
      <c r="L350" s="16" t="str">
        <f>IF(AND(L$10&gt;=$D350,L$11&lt;=$E350),VLOOKUP($F350,$K$2:Z$8,L$1,"Falsch"),"")</f>
        <v/>
      </c>
      <c r="M350" s="16" t="str">
        <f>IF(AND(M$10&gt;=$D350,M$11&lt;=$E350),VLOOKUP($F350,$K$2:AA$8,M$1,"Falsch"),"")</f>
        <v/>
      </c>
      <c r="N350" s="16" t="str">
        <f>IF(AND(N$10&gt;=$D350,N$11&lt;=$E350),VLOOKUP($F350,$K$2:AB$8,N$1,"Falsch"),"")</f>
        <v/>
      </c>
      <c r="O350" s="16" t="str">
        <f>IF(AND(O$10&gt;=$D350,O$11&lt;=$E350),VLOOKUP($F350,$K$2:AC$8,O$1,"Falsch"),"")</f>
        <v/>
      </c>
      <c r="P350" s="16" t="str">
        <f>IF(AND(P$10&gt;=$D350,P$11&lt;=$E350),VLOOKUP($F350,$K$2:AD$8,P$1,"Falsch"),"")</f>
        <v/>
      </c>
      <c r="Q350" s="16" t="str">
        <f>IF(AND(Q$10&gt;=$D350,Q$11&lt;=$E350),VLOOKUP($F350,$K$2:AE$8,Q$1,"Falsch"),"")</f>
        <v/>
      </c>
      <c r="R350" s="16" t="str">
        <f>IF(AND(R$10&gt;=$D350,R$11&lt;=$E350),VLOOKUP($F350,$K$2:AF$8,R$1,"Falsch"),"")</f>
        <v/>
      </c>
      <c r="S350" s="16" t="str">
        <f>IF(AND(S$10&gt;=$D350,S$11&lt;=$E350),VLOOKUP($F350,$K$2:AG$8,S$1,"Falsch"),"")</f>
        <v/>
      </c>
      <c r="T350" s="16" t="str">
        <f>IF(AND(T$10&gt;=$D350,T$11&lt;=$E350),VLOOKUP($F350,$K$2:AH$8,T$1,"Falsch"),"")</f>
        <v/>
      </c>
      <c r="U350" s="16" t="str">
        <f>IF(AND(U$10&gt;=$D350,U$11&lt;=$E350),VLOOKUP($F350,$K$2:AI$8,U$1,"Falsch"),"")</f>
        <v/>
      </c>
      <c r="V350" s="16" t="str">
        <f>IF(AND(V$10&gt;=$D350,V$11&lt;=$E350),VLOOKUP($F350,$K$2:AJ$8,V$1,"Falsch"),"")</f>
        <v/>
      </c>
      <c r="W350" s="16" t="str">
        <f>IF(AND(W$10&gt;=$D350,W$11&lt;=$E350),VLOOKUP($F350,$K$2:AK$8,W$1,"Falsch"),"")</f>
        <v/>
      </c>
      <c r="X350" s="16" t="str">
        <f>IF(AND(X$10&gt;=$D350,X$11&lt;=$E350),VLOOKUP($F350,$K$2:AL$8,X$1,"Falsch"),"")</f>
        <v/>
      </c>
      <c r="Y350" s="16" t="str">
        <f>IF(AND(Y$10&gt;=$D350,Y$11&lt;=$E350),VLOOKUP($F350,$K$2:AM$8,Y$1,"Falsch"),"")</f>
        <v/>
      </c>
      <c r="Z350" s="16" t="str">
        <f>IF(AND(Z$10&gt;=$D350,Z$11&lt;=$E350),VLOOKUP($F350,$K$2:AN$8,Z$1,"Falsch"),"")</f>
        <v/>
      </c>
      <c r="AA350" s="16" t="str">
        <f>IF(AND(AA$10&gt;=$D350,AA$11&lt;=$E350),VLOOKUP($F350,$K$2:AO$8,AA$1,"Falsch"),"")</f>
        <v/>
      </c>
      <c r="AB350" s="16" t="str">
        <f>IF(AND(AB$10&gt;=$D350,AB$11&lt;=$E350),VLOOKUP($F350,$K$2:AP$8,AB$1,"Falsch"),"")</f>
        <v/>
      </c>
      <c r="AC350" s="16" t="str">
        <f>IF(AND(AC$10&gt;=$D350,AC$11&lt;=$E350),VLOOKUP($F350,$K$2:AQ$8,AC$1,"Falsch"),"")</f>
        <v/>
      </c>
      <c r="AD350" s="16" t="str">
        <f>IF(AND(AD$10&gt;=$D350,AD$11&lt;=$E350),VLOOKUP($F350,$K$2:AR$8,AD$1,"Falsch"),"")</f>
        <v/>
      </c>
    </row>
    <row r="351" spans="9:30" x14ac:dyDescent="0.25">
      <c r="I351" s="21">
        <f t="shared" si="41"/>
        <v>0</v>
      </c>
      <c r="K351" s="25">
        <f t="shared" si="40"/>
        <v>0</v>
      </c>
      <c r="L351" s="16" t="str">
        <f>IF(AND(L$10&gt;=$D351,L$11&lt;=$E351),VLOOKUP($F351,$K$2:Z$8,L$1,"Falsch"),"")</f>
        <v/>
      </c>
      <c r="M351" s="16" t="str">
        <f>IF(AND(M$10&gt;=$D351,M$11&lt;=$E351),VLOOKUP($F351,$K$2:AA$8,M$1,"Falsch"),"")</f>
        <v/>
      </c>
      <c r="N351" s="16" t="str">
        <f>IF(AND(N$10&gt;=$D351,N$11&lt;=$E351),VLOOKUP($F351,$K$2:AB$8,N$1,"Falsch"),"")</f>
        <v/>
      </c>
      <c r="O351" s="16" t="str">
        <f>IF(AND(O$10&gt;=$D351,O$11&lt;=$E351),VLOOKUP($F351,$K$2:AC$8,O$1,"Falsch"),"")</f>
        <v/>
      </c>
      <c r="P351" s="16" t="str">
        <f>IF(AND(P$10&gt;=$D351,P$11&lt;=$E351),VLOOKUP($F351,$K$2:AD$8,P$1,"Falsch"),"")</f>
        <v/>
      </c>
      <c r="Q351" s="16" t="str">
        <f>IF(AND(Q$10&gt;=$D351,Q$11&lt;=$E351),VLOOKUP($F351,$K$2:AE$8,Q$1,"Falsch"),"")</f>
        <v/>
      </c>
      <c r="R351" s="16" t="str">
        <f>IF(AND(R$10&gt;=$D351,R$11&lt;=$E351),VLOOKUP($F351,$K$2:AF$8,R$1,"Falsch"),"")</f>
        <v/>
      </c>
      <c r="S351" s="16" t="str">
        <f>IF(AND(S$10&gt;=$D351,S$11&lt;=$E351),VLOOKUP($F351,$K$2:AG$8,S$1,"Falsch"),"")</f>
        <v/>
      </c>
      <c r="T351" s="16" t="str">
        <f>IF(AND(T$10&gt;=$D351,T$11&lt;=$E351),VLOOKUP($F351,$K$2:AH$8,T$1,"Falsch"),"")</f>
        <v/>
      </c>
      <c r="U351" s="16" t="str">
        <f>IF(AND(U$10&gt;=$D351,U$11&lt;=$E351),VLOOKUP($F351,$K$2:AI$8,U$1,"Falsch"),"")</f>
        <v/>
      </c>
      <c r="V351" s="16" t="str">
        <f>IF(AND(V$10&gt;=$D351,V$11&lt;=$E351),VLOOKUP($F351,$K$2:AJ$8,V$1,"Falsch"),"")</f>
        <v/>
      </c>
      <c r="W351" s="16" t="str">
        <f>IF(AND(W$10&gt;=$D351,W$11&lt;=$E351),VLOOKUP($F351,$K$2:AK$8,W$1,"Falsch"),"")</f>
        <v/>
      </c>
      <c r="X351" s="16" t="str">
        <f>IF(AND(X$10&gt;=$D351,X$11&lt;=$E351),VLOOKUP($F351,$K$2:AL$8,X$1,"Falsch"),"")</f>
        <v/>
      </c>
      <c r="Y351" s="16" t="str">
        <f>IF(AND(Y$10&gt;=$D351,Y$11&lt;=$E351),VLOOKUP($F351,$K$2:AM$8,Y$1,"Falsch"),"")</f>
        <v/>
      </c>
      <c r="Z351" s="16" t="str">
        <f>IF(AND(Z$10&gt;=$D351,Z$11&lt;=$E351),VLOOKUP($F351,$K$2:AN$8,Z$1,"Falsch"),"")</f>
        <v/>
      </c>
      <c r="AA351" s="16" t="str">
        <f>IF(AND(AA$10&gt;=$D351,AA$11&lt;=$E351),VLOOKUP($F351,$K$2:AO$8,AA$1,"Falsch"),"")</f>
        <v/>
      </c>
      <c r="AB351" s="16" t="str">
        <f>IF(AND(AB$10&gt;=$D351,AB$11&lt;=$E351),VLOOKUP($F351,$K$2:AP$8,AB$1,"Falsch"),"")</f>
        <v/>
      </c>
      <c r="AC351" s="16" t="str">
        <f>IF(AND(AC$10&gt;=$D351,AC$11&lt;=$E351),VLOOKUP($F351,$K$2:AQ$8,AC$1,"Falsch"),"")</f>
        <v/>
      </c>
      <c r="AD351" s="16" t="str">
        <f>IF(AND(AD$10&gt;=$D351,AD$11&lt;=$E351),VLOOKUP($F351,$K$2:AR$8,AD$1,"Falsch"),"")</f>
        <v/>
      </c>
    </row>
    <row r="352" spans="9:30" x14ac:dyDescent="0.25">
      <c r="I352" s="21">
        <f t="shared" si="41"/>
        <v>0</v>
      </c>
      <c r="K352" s="25">
        <f t="shared" si="40"/>
        <v>0</v>
      </c>
      <c r="L352" s="16" t="str">
        <f>IF(AND(L$10&gt;=$D352,L$11&lt;=$E352),VLOOKUP($F352,$K$2:Z$8,L$1,"Falsch"),"")</f>
        <v/>
      </c>
      <c r="M352" s="16" t="str">
        <f>IF(AND(M$10&gt;=$D352,M$11&lt;=$E352),VLOOKUP($F352,$K$2:AA$8,M$1,"Falsch"),"")</f>
        <v/>
      </c>
      <c r="N352" s="16" t="str">
        <f>IF(AND(N$10&gt;=$D352,N$11&lt;=$E352),VLOOKUP($F352,$K$2:AB$8,N$1,"Falsch"),"")</f>
        <v/>
      </c>
      <c r="O352" s="16" t="str">
        <f>IF(AND(O$10&gt;=$D352,O$11&lt;=$E352),VLOOKUP($F352,$K$2:AC$8,O$1,"Falsch"),"")</f>
        <v/>
      </c>
      <c r="P352" s="16" t="str">
        <f>IF(AND(P$10&gt;=$D352,P$11&lt;=$E352),VLOOKUP($F352,$K$2:AD$8,P$1,"Falsch"),"")</f>
        <v/>
      </c>
      <c r="Q352" s="16" t="str">
        <f>IF(AND(Q$10&gt;=$D352,Q$11&lt;=$E352),VLOOKUP($F352,$K$2:AE$8,Q$1,"Falsch"),"")</f>
        <v/>
      </c>
      <c r="R352" s="16" t="str">
        <f>IF(AND(R$10&gt;=$D352,R$11&lt;=$E352),VLOOKUP($F352,$K$2:AF$8,R$1,"Falsch"),"")</f>
        <v/>
      </c>
      <c r="S352" s="16" t="str">
        <f>IF(AND(S$10&gt;=$D352,S$11&lt;=$E352),VLOOKUP($F352,$K$2:AG$8,S$1,"Falsch"),"")</f>
        <v/>
      </c>
      <c r="T352" s="16" t="str">
        <f>IF(AND(T$10&gt;=$D352,T$11&lt;=$E352),VLOOKUP($F352,$K$2:AH$8,T$1,"Falsch"),"")</f>
        <v/>
      </c>
      <c r="U352" s="16" t="str">
        <f>IF(AND(U$10&gt;=$D352,U$11&lt;=$E352),VLOOKUP($F352,$K$2:AI$8,U$1,"Falsch"),"")</f>
        <v/>
      </c>
      <c r="V352" s="16" t="str">
        <f>IF(AND(V$10&gt;=$D352,V$11&lt;=$E352),VLOOKUP($F352,$K$2:AJ$8,V$1,"Falsch"),"")</f>
        <v/>
      </c>
      <c r="W352" s="16" t="str">
        <f>IF(AND(W$10&gt;=$D352,W$11&lt;=$E352),VLOOKUP($F352,$K$2:AK$8,W$1,"Falsch"),"")</f>
        <v/>
      </c>
      <c r="X352" s="16" t="str">
        <f>IF(AND(X$10&gt;=$D352,X$11&lt;=$E352),VLOOKUP($F352,$K$2:AL$8,X$1,"Falsch"),"")</f>
        <v/>
      </c>
      <c r="Y352" s="16" t="str">
        <f>IF(AND(Y$10&gt;=$D352,Y$11&lt;=$E352),VLOOKUP($F352,$K$2:AM$8,Y$1,"Falsch"),"")</f>
        <v/>
      </c>
      <c r="Z352" s="16" t="str">
        <f>IF(AND(Z$10&gt;=$D352,Z$11&lt;=$E352),VLOOKUP($F352,$K$2:AN$8,Z$1,"Falsch"),"")</f>
        <v/>
      </c>
      <c r="AA352" s="16" t="str">
        <f>IF(AND(AA$10&gt;=$D352,AA$11&lt;=$E352),VLOOKUP($F352,$K$2:AO$8,AA$1,"Falsch"),"")</f>
        <v/>
      </c>
      <c r="AB352" s="16" t="str">
        <f>IF(AND(AB$10&gt;=$D352,AB$11&lt;=$E352),VLOOKUP($F352,$K$2:AP$8,AB$1,"Falsch"),"")</f>
        <v/>
      </c>
      <c r="AC352" s="16" t="str">
        <f>IF(AND(AC$10&gt;=$D352,AC$11&lt;=$E352),VLOOKUP($F352,$K$2:AQ$8,AC$1,"Falsch"),"")</f>
        <v/>
      </c>
      <c r="AD352" s="16" t="str">
        <f>IF(AND(AD$10&gt;=$D352,AD$11&lt;=$E352),VLOOKUP($F352,$K$2:AR$8,AD$1,"Falsch"),"")</f>
        <v/>
      </c>
    </row>
    <row r="353" spans="9:30" x14ac:dyDescent="0.25">
      <c r="I353" s="21">
        <f t="shared" si="41"/>
        <v>0</v>
      </c>
      <c r="K353" s="25">
        <f t="shared" si="40"/>
        <v>0</v>
      </c>
      <c r="L353" s="16" t="str">
        <f>IF(AND(L$10&gt;=$D353,L$11&lt;=$E353),VLOOKUP($F353,$K$2:Z$8,L$1,"Falsch"),"")</f>
        <v/>
      </c>
      <c r="M353" s="16" t="str">
        <f>IF(AND(M$10&gt;=$D353,M$11&lt;=$E353),VLOOKUP($F353,$K$2:AA$8,M$1,"Falsch"),"")</f>
        <v/>
      </c>
      <c r="N353" s="16" t="str">
        <f>IF(AND(N$10&gt;=$D353,N$11&lt;=$E353),VLOOKUP($F353,$K$2:AB$8,N$1,"Falsch"),"")</f>
        <v/>
      </c>
      <c r="O353" s="16" t="str">
        <f>IF(AND(O$10&gt;=$D353,O$11&lt;=$E353),VLOOKUP($F353,$K$2:AC$8,O$1,"Falsch"),"")</f>
        <v/>
      </c>
      <c r="P353" s="16" t="str">
        <f>IF(AND(P$10&gt;=$D353,P$11&lt;=$E353),VLOOKUP($F353,$K$2:AD$8,P$1,"Falsch"),"")</f>
        <v/>
      </c>
      <c r="Q353" s="16" t="str">
        <f>IF(AND(Q$10&gt;=$D353,Q$11&lt;=$E353),VLOOKUP($F353,$K$2:AE$8,Q$1,"Falsch"),"")</f>
        <v/>
      </c>
      <c r="R353" s="16" t="str">
        <f>IF(AND(R$10&gt;=$D353,R$11&lt;=$E353),VLOOKUP($F353,$K$2:AF$8,R$1,"Falsch"),"")</f>
        <v/>
      </c>
      <c r="S353" s="16" t="str">
        <f>IF(AND(S$10&gt;=$D353,S$11&lt;=$E353),VLOOKUP($F353,$K$2:AG$8,S$1,"Falsch"),"")</f>
        <v/>
      </c>
      <c r="T353" s="16" t="str">
        <f>IF(AND(T$10&gt;=$D353,T$11&lt;=$E353),VLOOKUP($F353,$K$2:AH$8,T$1,"Falsch"),"")</f>
        <v/>
      </c>
      <c r="U353" s="16" t="str">
        <f>IF(AND(U$10&gt;=$D353,U$11&lt;=$E353),VLOOKUP($F353,$K$2:AI$8,U$1,"Falsch"),"")</f>
        <v/>
      </c>
      <c r="V353" s="16" t="str">
        <f>IF(AND(V$10&gt;=$D353,V$11&lt;=$E353),VLOOKUP($F353,$K$2:AJ$8,V$1,"Falsch"),"")</f>
        <v/>
      </c>
      <c r="W353" s="16" t="str">
        <f>IF(AND(W$10&gt;=$D353,W$11&lt;=$E353),VLOOKUP($F353,$K$2:AK$8,W$1,"Falsch"),"")</f>
        <v/>
      </c>
      <c r="X353" s="16" t="str">
        <f>IF(AND(X$10&gt;=$D353,X$11&lt;=$E353),VLOOKUP($F353,$K$2:AL$8,X$1,"Falsch"),"")</f>
        <v/>
      </c>
      <c r="Y353" s="16" t="str">
        <f>IF(AND(Y$10&gt;=$D353,Y$11&lt;=$E353),VLOOKUP($F353,$K$2:AM$8,Y$1,"Falsch"),"")</f>
        <v/>
      </c>
      <c r="Z353" s="16" t="str">
        <f>IF(AND(Z$10&gt;=$D353,Z$11&lt;=$E353),VLOOKUP($F353,$K$2:AN$8,Z$1,"Falsch"),"")</f>
        <v/>
      </c>
      <c r="AA353" s="16" t="str">
        <f>IF(AND(AA$10&gt;=$D353,AA$11&lt;=$E353),VLOOKUP($F353,$K$2:AO$8,AA$1,"Falsch"),"")</f>
        <v/>
      </c>
      <c r="AB353" s="16" t="str">
        <f>IF(AND(AB$10&gt;=$D353,AB$11&lt;=$E353),VLOOKUP($F353,$K$2:AP$8,AB$1,"Falsch"),"")</f>
        <v/>
      </c>
      <c r="AC353" s="16" t="str">
        <f>IF(AND(AC$10&gt;=$D353,AC$11&lt;=$E353),VLOOKUP($F353,$K$2:AQ$8,AC$1,"Falsch"),"")</f>
        <v/>
      </c>
      <c r="AD353" s="16" t="str">
        <f>IF(AND(AD$10&gt;=$D353,AD$11&lt;=$E353),VLOOKUP($F353,$K$2:AR$8,AD$1,"Falsch"),"")</f>
        <v/>
      </c>
    </row>
    <row r="354" spans="9:30" x14ac:dyDescent="0.25">
      <c r="I354" s="21">
        <f t="shared" si="41"/>
        <v>0</v>
      </c>
      <c r="K354" s="25">
        <f t="shared" si="40"/>
        <v>0</v>
      </c>
      <c r="L354" s="16" t="str">
        <f>IF(AND(L$10&gt;=$D354,L$11&lt;=$E354),VLOOKUP($F354,$K$2:Z$8,L$1,"Falsch"),"")</f>
        <v/>
      </c>
      <c r="M354" s="16" t="str">
        <f>IF(AND(M$10&gt;=$D354,M$11&lt;=$E354),VLOOKUP($F354,$K$2:AA$8,M$1,"Falsch"),"")</f>
        <v/>
      </c>
      <c r="N354" s="16" t="str">
        <f>IF(AND(N$10&gt;=$D354,N$11&lt;=$E354),VLOOKUP($F354,$K$2:AB$8,N$1,"Falsch"),"")</f>
        <v/>
      </c>
      <c r="O354" s="16" t="str">
        <f>IF(AND(O$10&gt;=$D354,O$11&lt;=$E354),VLOOKUP($F354,$K$2:AC$8,O$1,"Falsch"),"")</f>
        <v/>
      </c>
      <c r="P354" s="16" t="str">
        <f>IF(AND(P$10&gt;=$D354,P$11&lt;=$E354),VLOOKUP($F354,$K$2:AD$8,P$1,"Falsch"),"")</f>
        <v/>
      </c>
      <c r="Q354" s="16" t="str">
        <f>IF(AND(Q$10&gt;=$D354,Q$11&lt;=$E354),VLOOKUP($F354,$K$2:AE$8,Q$1,"Falsch"),"")</f>
        <v/>
      </c>
      <c r="R354" s="16" t="str">
        <f>IF(AND(R$10&gt;=$D354,R$11&lt;=$E354),VLOOKUP($F354,$K$2:AF$8,R$1,"Falsch"),"")</f>
        <v/>
      </c>
      <c r="S354" s="16" t="str">
        <f>IF(AND(S$10&gt;=$D354,S$11&lt;=$E354),VLOOKUP($F354,$K$2:AG$8,S$1,"Falsch"),"")</f>
        <v/>
      </c>
      <c r="T354" s="16" t="str">
        <f>IF(AND(T$10&gt;=$D354,T$11&lt;=$E354),VLOOKUP($F354,$K$2:AH$8,T$1,"Falsch"),"")</f>
        <v/>
      </c>
      <c r="U354" s="16" t="str">
        <f>IF(AND(U$10&gt;=$D354,U$11&lt;=$E354),VLOOKUP($F354,$K$2:AI$8,U$1,"Falsch"),"")</f>
        <v/>
      </c>
      <c r="V354" s="16" t="str">
        <f>IF(AND(V$10&gt;=$D354,V$11&lt;=$E354),VLOOKUP($F354,$K$2:AJ$8,V$1,"Falsch"),"")</f>
        <v/>
      </c>
      <c r="W354" s="16" t="str">
        <f>IF(AND(W$10&gt;=$D354,W$11&lt;=$E354),VLOOKUP($F354,$K$2:AK$8,W$1,"Falsch"),"")</f>
        <v/>
      </c>
      <c r="X354" s="16" t="str">
        <f>IF(AND(X$10&gt;=$D354,X$11&lt;=$E354),VLOOKUP($F354,$K$2:AL$8,X$1,"Falsch"),"")</f>
        <v/>
      </c>
      <c r="Y354" s="16" t="str">
        <f>IF(AND(Y$10&gt;=$D354,Y$11&lt;=$E354),VLOOKUP($F354,$K$2:AM$8,Y$1,"Falsch"),"")</f>
        <v/>
      </c>
      <c r="Z354" s="16" t="str">
        <f>IF(AND(Z$10&gt;=$D354,Z$11&lt;=$E354),VLOOKUP($F354,$K$2:AN$8,Z$1,"Falsch"),"")</f>
        <v/>
      </c>
      <c r="AA354" s="16" t="str">
        <f>IF(AND(AA$10&gt;=$D354,AA$11&lt;=$E354),VLOOKUP($F354,$K$2:AO$8,AA$1,"Falsch"),"")</f>
        <v/>
      </c>
      <c r="AB354" s="16" t="str">
        <f>IF(AND(AB$10&gt;=$D354,AB$11&lt;=$E354),VLOOKUP($F354,$K$2:AP$8,AB$1,"Falsch"),"")</f>
        <v/>
      </c>
      <c r="AC354" s="16" t="str">
        <f>IF(AND(AC$10&gt;=$D354,AC$11&lt;=$E354),VLOOKUP($F354,$K$2:AQ$8,AC$1,"Falsch"),"")</f>
        <v/>
      </c>
      <c r="AD354" s="16" t="str">
        <f>IF(AND(AD$10&gt;=$D354,AD$11&lt;=$E354),VLOOKUP($F354,$K$2:AR$8,AD$1,"Falsch"),"")</f>
        <v/>
      </c>
    </row>
    <row r="355" spans="9:30" x14ac:dyDescent="0.25">
      <c r="I355" s="21">
        <f t="shared" si="41"/>
        <v>0</v>
      </c>
      <c r="K355" s="25">
        <f t="shared" si="40"/>
        <v>0</v>
      </c>
      <c r="L355" s="16" t="str">
        <f>IF(AND(L$10&gt;=$D355,L$11&lt;=$E355),VLOOKUP($F355,$K$2:Z$8,L$1,"Falsch"),"")</f>
        <v/>
      </c>
      <c r="M355" s="16" t="str">
        <f>IF(AND(M$10&gt;=$D355,M$11&lt;=$E355),VLOOKUP($F355,$K$2:AA$8,M$1,"Falsch"),"")</f>
        <v/>
      </c>
      <c r="N355" s="16" t="str">
        <f>IF(AND(N$10&gt;=$D355,N$11&lt;=$E355),VLOOKUP($F355,$K$2:AB$8,N$1,"Falsch"),"")</f>
        <v/>
      </c>
      <c r="O355" s="16" t="str">
        <f>IF(AND(O$10&gt;=$D355,O$11&lt;=$E355),VLOOKUP($F355,$K$2:AC$8,O$1,"Falsch"),"")</f>
        <v/>
      </c>
      <c r="P355" s="16" t="str">
        <f>IF(AND(P$10&gt;=$D355,P$11&lt;=$E355),VLOOKUP($F355,$K$2:AD$8,P$1,"Falsch"),"")</f>
        <v/>
      </c>
      <c r="Q355" s="16" t="str">
        <f>IF(AND(Q$10&gt;=$D355,Q$11&lt;=$E355),VLOOKUP($F355,$K$2:AE$8,Q$1,"Falsch"),"")</f>
        <v/>
      </c>
      <c r="R355" s="16" t="str">
        <f>IF(AND(R$10&gt;=$D355,R$11&lt;=$E355),VLOOKUP($F355,$K$2:AF$8,R$1,"Falsch"),"")</f>
        <v/>
      </c>
      <c r="S355" s="16" t="str">
        <f>IF(AND(S$10&gt;=$D355,S$11&lt;=$E355),VLOOKUP($F355,$K$2:AG$8,S$1,"Falsch"),"")</f>
        <v/>
      </c>
      <c r="T355" s="16" t="str">
        <f>IF(AND(T$10&gt;=$D355,T$11&lt;=$E355),VLOOKUP($F355,$K$2:AH$8,T$1,"Falsch"),"")</f>
        <v/>
      </c>
      <c r="U355" s="16" t="str">
        <f>IF(AND(U$10&gt;=$D355,U$11&lt;=$E355),VLOOKUP($F355,$K$2:AI$8,U$1,"Falsch"),"")</f>
        <v/>
      </c>
      <c r="V355" s="16" t="str">
        <f>IF(AND(V$10&gt;=$D355,V$11&lt;=$E355),VLOOKUP($F355,$K$2:AJ$8,V$1,"Falsch"),"")</f>
        <v/>
      </c>
      <c r="W355" s="16" t="str">
        <f>IF(AND(W$10&gt;=$D355,W$11&lt;=$E355),VLOOKUP($F355,$K$2:AK$8,W$1,"Falsch"),"")</f>
        <v/>
      </c>
      <c r="X355" s="16" t="str">
        <f>IF(AND(X$10&gt;=$D355,X$11&lt;=$E355),VLOOKUP($F355,$K$2:AL$8,X$1,"Falsch"),"")</f>
        <v/>
      </c>
      <c r="Y355" s="16" t="str">
        <f>IF(AND(Y$10&gt;=$D355,Y$11&lt;=$E355),VLOOKUP($F355,$K$2:AM$8,Y$1,"Falsch"),"")</f>
        <v/>
      </c>
      <c r="Z355" s="16" t="str">
        <f>IF(AND(Z$10&gt;=$D355,Z$11&lt;=$E355),VLOOKUP($F355,$K$2:AN$8,Z$1,"Falsch"),"")</f>
        <v/>
      </c>
      <c r="AA355" s="16" t="str">
        <f>IF(AND(AA$10&gt;=$D355,AA$11&lt;=$E355),VLOOKUP($F355,$K$2:AO$8,AA$1,"Falsch"),"")</f>
        <v/>
      </c>
      <c r="AB355" s="16" t="str">
        <f>IF(AND(AB$10&gt;=$D355,AB$11&lt;=$E355),VLOOKUP($F355,$K$2:AP$8,AB$1,"Falsch"),"")</f>
        <v/>
      </c>
      <c r="AC355" s="16" t="str">
        <f>IF(AND(AC$10&gt;=$D355,AC$11&lt;=$E355),VLOOKUP($F355,$K$2:AQ$8,AC$1,"Falsch"),"")</f>
        <v/>
      </c>
      <c r="AD355" s="16" t="str">
        <f>IF(AND(AD$10&gt;=$D355,AD$11&lt;=$E355),VLOOKUP($F355,$K$2:AR$8,AD$1,"Falsch"),"")</f>
        <v/>
      </c>
    </row>
    <row r="356" spans="9:30" x14ac:dyDescent="0.25">
      <c r="I356" s="21">
        <f t="shared" si="41"/>
        <v>0</v>
      </c>
      <c r="K356" s="25">
        <f t="shared" si="40"/>
        <v>0</v>
      </c>
      <c r="L356" s="16" t="str">
        <f>IF(AND(L$10&gt;=$D356,L$11&lt;=$E356),VLOOKUP($F356,$K$2:Z$8,L$1,"Falsch"),"")</f>
        <v/>
      </c>
      <c r="M356" s="16" t="str">
        <f>IF(AND(M$10&gt;=$D356,M$11&lt;=$E356),VLOOKUP($F356,$K$2:AA$8,M$1,"Falsch"),"")</f>
        <v/>
      </c>
      <c r="N356" s="16" t="str">
        <f>IF(AND(N$10&gt;=$D356,N$11&lt;=$E356),VLOOKUP($F356,$K$2:AB$8,N$1,"Falsch"),"")</f>
        <v/>
      </c>
      <c r="O356" s="16" t="str">
        <f>IF(AND(O$10&gt;=$D356,O$11&lt;=$E356),VLOOKUP($F356,$K$2:AC$8,O$1,"Falsch"),"")</f>
        <v/>
      </c>
      <c r="P356" s="16" t="str">
        <f>IF(AND(P$10&gt;=$D356,P$11&lt;=$E356),VLOOKUP($F356,$K$2:AD$8,P$1,"Falsch"),"")</f>
        <v/>
      </c>
      <c r="Q356" s="16" t="str">
        <f>IF(AND(Q$10&gt;=$D356,Q$11&lt;=$E356),VLOOKUP($F356,$K$2:AE$8,Q$1,"Falsch"),"")</f>
        <v/>
      </c>
      <c r="R356" s="16" t="str">
        <f>IF(AND(R$10&gt;=$D356,R$11&lt;=$E356),VLOOKUP($F356,$K$2:AF$8,R$1,"Falsch"),"")</f>
        <v/>
      </c>
      <c r="S356" s="16" t="str">
        <f>IF(AND(S$10&gt;=$D356,S$11&lt;=$E356),VLOOKUP($F356,$K$2:AG$8,S$1,"Falsch"),"")</f>
        <v/>
      </c>
      <c r="T356" s="16" t="str">
        <f>IF(AND(T$10&gt;=$D356,T$11&lt;=$E356),VLOOKUP($F356,$K$2:AH$8,T$1,"Falsch"),"")</f>
        <v/>
      </c>
      <c r="U356" s="16" t="str">
        <f>IF(AND(U$10&gt;=$D356,U$11&lt;=$E356),VLOOKUP($F356,$K$2:AI$8,U$1,"Falsch"),"")</f>
        <v/>
      </c>
      <c r="V356" s="16" t="str">
        <f>IF(AND(V$10&gt;=$D356,V$11&lt;=$E356),VLOOKUP($F356,$K$2:AJ$8,V$1,"Falsch"),"")</f>
        <v/>
      </c>
      <c r="W356" s="16" t="str">
        <f>IF(AND(W$10&gt;=$D356,W$11&lt;=$E356),VLOOKUP($F356,$K$2:AK$8,W$1,"Falsch"),"")</f>
        <v/>
      </c>
      <c r="X356" s="16" t="str">
        <f>IF(AND(X$10&gt;=$D356,X$11&lt;=$E356),VLOOKUP($F356,$K$2:AL$8,X$1,"Falsch"),"")</f>
        <v/>
      </c>
      <c r="Y356" s="16" t="str">
        <f>IF(AND(Y$10&gt;=$D356,Y$11&lt;=$E356),VLOOKUP($F356,$K$2:AM$8,Y$1,"Falsch"),"")</f>
        <v/>
      </c>
      <c r="Z356" s="16" t="str">
        <f>IF(AND(Z$10&gt;=$D356,Z$11&lt;=$E356),VLOOKUP($F356,$K$2:AN$8,Z$1,"Falsch"),"")</f>
        <v/>
      </c>
      <c r="AA356" s="16" t="str">
        <f>IF(AND(AA$10&gt;=$D356,AA$11&lt;=$E356),VLOOKUP($F356,$K$2:AO$8,AA$1,"Falsch"),"")</f>
        <v/>
      </c>
      <c r="AB356" s="16" t="str">
        <f>IF(AND(AB$10&gt;=$D356,AB$11&lt;=$E356),VLOOKUP($F356,$K$2:AP$8,AB$1,"Falsch"),"")</f>
        <v/>
      </c>
      <c r="AC356" s="16" t="str">
        <f>IF(AND(AC$10&gt;=$D356,AC$11&lt;=$E356),VLOOKUP($F356,$K$2:AQ$8,AC$1,"Falsch"),"")</f>
        <v/>
      </c>
      <c r="AD356" s="16" t="str">
        <f>IF(AND(AD$10&gt;=$D356,AD$11&lt;=$E356),VLOOKUP($F356,$K$2:AR$8,AD$1,"Falsch"),"")</f>
        <v/>
      </c>
    </row>
    <row r="357" spans="9:30" x14ac:dyDescent="0.25">
      <c r="I357" s="21">
        <f t="shared" si="41"/>
        <v>0</v>
      </c>
      <c r="K357" s="25">
        <f t="shared" si="40"/>
        <v>0</v>
      </c>
      <c r="L357" s="16" t="str">
        <f>IF(AND(L$10&gt;=$D357,L$11&lt;=$E357),VLOOKUP($F357,$K$2:Z$8,L$1,"Falsch"),"")</f>
        <v/>
      </c>
      <c r="M357" s="16" t="str">
        <f>IF(AND(M$10&gt;=$D357,M$11&lt;=$E357),VLOOKUP($F357,$K$2:AA$8,M$1,"Falsch"),"")</f>
        <v/>
      </c>
      <c r="N357" s="16" t="str">
        <f>IF(AND(N$10&gt;=$D357,N$11&lt;=$E357),VLOOKUP($F357,$K$2:AB$8,N$1,"Falsch"),"")</f>
        <v/>
      </c>
      <c r="O357" s="16" t="str">
        <f>IF(AND(O$10&gt;=$D357,O$11&lt;=$E357),VLOOKUP($F357,$K$2:AC$8,O$1,"Falsch"),"")</f>
        <v/>
      </c>
      <c r="P357" s="16" t="str">
        <f>IF(AND(P$10&gt;=$D357,P$11&lt;=$E357),VLOOKUP($F357,$K$2:AD$8,P$1,"Falsch"),"")</f>
        <v/>
      </c>
      <c r="Q357" s="16" t="str">
        <f>IF(AND(Q$10&gt;=$D357,Q$11&lt;=$E357),VLOOKUP($F357,$K$2:AE$8,Q$1,"Falsch"),"")</f>
        <v/>
      </c>
      <c r="R357" s="16" t="str">
        <f>IF(AND(R$10&gt;=$D357,R$11&lt;=$E357),VLOOKUP($F357,$K$2:AF$8,R$1,"Falsch"),"")</f>
        <v/>
      </c>
      <c r="S357" s="16" t="str">
        <f>IF(AND(S$10&gt;=$D357,S$11&lt;=$E357),VLOOKUP($F357,$K$2:AG$8,S$1,"Falsch"),"")</f>
        <v/>
      </c>
      <c r="T357" s="16" t="str">
        <f>IF(AND(T$10&gt;=$D357,T$11&lt;=$E357),VLOOKUP($F357,$K$2:AH$8,T$1,"Falsch"),"")</f>
        <v/>
      </c>
      <c r="U357" s="16" t="str">
        <f>IF(AND(U$10&gt;=$D357,U$11&lt;=$E357),VLOOKUP($F357,$K$2:AI$8,U$1,"Falsch"),"")</f>
        <v/>
      </c>
      <c r="V357" s="16" t="str">
        <f>IF(AND(V$10&gt;=$D357,V$11&lt;=$E357),VLOOKUP($F357,$K$2:AJ$8,V$1,"Falsch"),"")</f>
        <v/>
      </c>
      <c r="W357" s="16" t="str">
        <f>IF(AND(W$10&gt;=$D357,W$11&lt;=$E357),VLOOKUP($F357,$K$2:AK$8,W$1,"Falsch"),"")</f>
        <v/>
      </c>
      <c r="X357" s="16" t="str">
        <f>IF(AND(X$10&gt;=$D357,X$11&lt;=$E357),VLOOKUP($F357,$K$2:AL$8,X$1,"Falsch"),"")</f>
        <v/>
      </c>
      <c r="Y357" s="16" t="str">
        <f>IF(AND(Y$10&gt;=$D357,Y$11&lt;=$E357),VLOOKUP($F357,$K$2:AM$8,Y$1,"Falsch"),"")</f>
        <v/>
      </c>
      <c r="Z357" s="16" t="str">
        <f>IF(AND(Z$10&gt;=$D357,Z$11&lt;=$E357),VLOOKUP($F357,$K$2:AN$8,Z$1,"Falsch"),"")</f>
        <v/>
      </c>
      <c r="AA357" s="16" t="str">
        <f>IF(AND(AA$10&gt;=$D357,AA$11&lt;=$E357),VLOOKUP($F357,$K$2:AO$8,AA$1,"Falsch"),"")</f>
        <v/>
      </c>
      <c r="AB357" s="16" t="str">
        <f>IF(AND(AB$10&gt;=$D357,AB$11&lt;=$E357),VLOOKUP($F357,$K$2:AP$8,AB$1,"Falsch"),"")</f>
        <v/>
      </c>
      <c r="AC357" s="16" t="str">
        <f>IF(AND(AC$10&gt;=$D357,AC$11&lt;=$E357),VLOOKUP($F357,$K$2:AQ$8,AC$1,"Falsch"),"")</f>
        <v/>
      </c>
      <c r="AD357" s="16" t="str">
        <f>IF(AND(AD$10&gt;=$D357,AD$11&lt;=$E357),VLOOKUP($F357,$K$2:AR$8,AD$1,"Falsch"),"")</f>
        <v/>
      </c>
    </row>
    <row r="358" spans="9:30" x14ac:dyDescent="0.25">
      <c r="I358" s="21">
        <f t="shared" si="41"/>
        <v>0</v>
      </c>
      <c r="K358" s="25">
        <f t="shared" si="40"/>
        <v>0</v>
      </c>
      <c r="L358" s="16" t="str">
        <f>IF(AND(L$10&gt;=$D358,L$11&lt;=$E358),VLOOKUP($F358,$K$2:Z$8,L$1,"Falsch"),"")</f>
        <v/>
      </c>
      <c r="M358" s="16" t="str">
        <f>IF(AND(M$10&gt;=$D358,M$11&lt;=$E358),VLOOKUP($F358,$K$2:AA$8,M$1,"Falsch"),"")</f>
        <v/>
      </c>
      <c r="N358" s="16" t="str">
        <f>IF(AND(N$10&gt;=$D358,N$11&lt;=$E358),VLOOKUP($F358,$K$2:AB$8,N$1,"Falsch"),"")</f>
        <v/>
      </c>
      <c r="O358" s="16" t="str">
        <f>IF(AND(O$10&gt;=$D358,O$11&lt;=$E358),VLOOKUP($F358,$K$2:AC$8,O$1,"Falsch"),"")</f>
        <v/>
      </c>
      <c r="P358" s="16" t="str">
        <f>IF(AND(P$10&gt;=$D358,P$11&lt;=$E358),VLOOKUP($F358,$K$2:AD$8,P$1,"Falsch"),"")</f>
        <v/>
      </c>
      <c r="Q358" s="16" t="str">
        <f>IF(AND(Q$10&gt;=$D358,Q$11&lt;=$E358),VLOOKUP($F358,$K$2:AE$8,Q$1,"Falsch"),"")</f>
        <v/>
      </c>
      <c r="R358" s="16" t="str">
        <f>IF(AND(R$10&gt;=$D358,R$11&lt;=$E358),VLOOKUP($F358,$K$2:AF$8,R$1,"Falsch"),"")</f>
        <v/>
      </c>
      <c r="S358" s="16" t="str">
        <f>IF(AND(S$10&gt;=$D358,S$11&lt;=$E358),VLOOKUP($F358,$K$2:AG$8,S$1,"Falsch"),"")</f>
        <v/>
      </c>
      <c r="T358" s="16" t="str">
        <f>IF(AND(T$10&gt;=$D358,T$11&lt;=$E358),VLOOKUP($F358,$K$2:AH$8,T$1,"Falsch"),"")</f>
        <v/>
      </c>
      <c r="U358" s="16" t="str">
        <f>IF(AND(U$10&gt;=$D358,U$11&lt;=$E358),VLOOKUP($F358,$K$2:AI$8,U$1,"Falsch"),"")</f>
        <v/>
      </c>
      <c r="V358" s="16" t="str">
        <f>IF(AND(V$10&gt;=$D358,V$11&lt;=$E358),VLOOKUP($F358,$K$2:AJ$8,V$1,"Falsch"),"")</f>
        <v/>
      </c>
      <c r="W358" s="16" t="str">
        <f>IF(AND(W$10&gt;=$D358,W$11&lt;=$E358),VLOOKUP($F358,$K$2:AK$8,W$1,"Falsch"),"")</f>
        <v/>
      </c>
      <c r="X358" s="16" t="str">
        <f>IF(AND(X$10&gt;=$D358,X$11&lt;=$E358),VLOOKUP($F358,$K$2:AL$8,X$1,"Falsch"),"")</f>
        <v/>
      </c>
      <c r="Y358" s="16" t="str">
        <f>IF(AND(Y$10&gt;=$D358,Y$11&lt;=$E358),VLOOKUP($F358,$K$2:AM$8,Y$1,"Falsch"),"")</f>
        <v/>
      </c>
      <c r="Z358" s="16" t="str">
        <f>IF(AND(Z$10&gt;=$D358,Z$11&lt;=$E358),VLOOKUP($F358,$K$2:AN$8,Z$1,"Falsch"),"")</f>
        <v/>
      </c>
      <c r="AA358" s="16" t="str">
        <f>IF(AND(AA$10&gt;=$D358,AA$11&lt;=$E358),VLOOKUP($F358,$K$2:AO$8,AA$1,"Falsch"),"")</f>
        <v/>
      </c>
      <c r="AB358" s="16" t="str">
        <f>IF(AND(AB$10&gt;=$D358,AB$11&lt;=$E358),VLOOKUP($F358,$K$2:AP$8,AB$1,"Falsch"),"")</f>
        <v/>
      </c>
      <c r="AC358" s="16" t="str">
        <f>IF(AND(AC$10&gt;=$D358,AC$11&lt;=$E358),VLOOKUP($F358,$K$2:AQ$8,AC$1,"Falsch"),"")</f>
        <v/>
      </c>
      <c r="AD358" s="16" t="str">
        <f>IF(AND(AD$10&gt;=$D358,AD$11&lt;=$E358),VLOOKUP($F358,$K$2:AR$8,AD$1,"Falsch"),"")</f>
        <v/>
      </c>
    </row>
    <row r="359" spans="9:30" x14ac:dyDescent="0.25">
      <c r="I359" s="21">
        <f t="shared" si="41"/>
        <v>0</v>
      </c>
      <c r="K359" s="25">
        <f t="shared" si="40"/>
        <v>0</v>
      </c>
      <c r="L359" s="16" t="str">
        <f>IF(AND(L$10&gt;=$D359,L$11&lt;=$E359),VLOOKUP($F359,$K$2:Z$8,L$1,"Falsch"),"")</f>
        <v/>
      </c>
      <c r="M359" s="16" t="str">
        <f>IF(AND(M$10&gt;=$D359,M$11&lt;=$E359),VLOOKUP($F359,$K$2:AA$8,M$1,"Falsch"),"")</f>
        <v/>
      </c>
      <c r="N359" s="16" t="str">
        <f>IF(AND(N$10&gt;=$D359,N$11&lt;=$E359),VLOOKUP($F359,$K$2:AB$8,N$1,"Falsch"),"")</f>
        <v/>
      </c>
      <c r="O359" s="16" t="str">
        <f>IF(AND(O$10&gt;=$D359,O$11&lt;=$E359),VLOOKUP($F359,$K$2:AC$8,O$1,"Falsch"),"")</f>
        <v/>
      </c>
      <c r="P359" s="16" t="str">
        <f>IF(AND(P$10&gt;=$D359,P$11&lt;=$E359),VLOOKUP($F359,$K$2:AD$8,P$1,"Falsch"),"")</f>
        <v/>
      </c>
      <c r="Q359" s="16" t="str">
        <f>IF(AND(Q$10&gt;=$D359,Q$11&lt;=$E359),VLOOKUP($F359,$K$2:AE$8,Q$1,"Falsch"),"")</f>
        <v/>
      </c>
      <c r="R359" s="16" t="str">
        <f>IF(AND(R$10&gt;=$D359,R$11&lt;=$E359),VLOOKUP($F359,$K$2:AF$8,R$1,"Falsch"),"")</f>
        <v/>
      </c>
      <c r="S359" s="16" t="str">
        <f>IF(AND(S$10&gt;=$D359,S$11&lt;=$E359),VLOOKUP($F359,$K$2:AG$8,S$1,"Falsch"),"")</f>
        <v/>
      </c>
      <c r="T359" s="16" t="str">
        <f>IF(AND(T$10&gt;=$D359,T$11&lt;=$E359),VLOOKUP($F359,$K$2:AH$8,T$1,"Falsch"),"")</f>
        <v/>
      </c>
      <c r="U359" s="16" t="str">
        <f>IF(AND(U$10&gt;=$D359,U$11&lt;=$E359),VLOOKUP($F359,$K$2:AI$8,U$1,"Falsch"),"")</f>
        <v/>
      </c>
      <c r="V359" s="16" t="str">
        <f>IF(AND(V$10&gt;=$D359,V$11&lt;=$E359),VLOOKUP($F359,$K$2:AJ$8,V$1,"Falsch"),"")</f>
        <v/>
      </c>
      <c r="W359" s="16" t="str">
        <f>IF(AND(W$10&gt;=$D359,W$11&lt;=$E359),VLOOKUP($F359,$K$2:AK$8,W$1,"Falsch"),"")</f>
        <v/>
      </c>
      <c r="X359" s="16" t="str">
        <f>IF(AND(X$10&gt;=$D359,X$11&lt;=$E359),VLOOKUP($F359,$K$2:AL$8,X$1,"Falsch"),"")</f>
        <v/>
      </c>
      <c r="Y359" s="16" t="str">
        <f>IF(AND(Y$10&gt;=$D359,Y$11&lt;=$E359),VLOOKUP($F359,$K$2:AM$8,Y$1,"Falsch"),"")</f>
        <v/>
      </c>
      <c r="Z359" s="16" t="str">
        <f>IF(AND(Z$10&gt;=$D359,Z$11&lt;=$E359),VLOOKUP($F359,$K$2:AN$8,Z$1,"Falsch"),"")</f>
        <v/>
      </c>
      <c r="AA359" s="16" t="str">
        <f>IF(AND(AA$10&gt;=$D359,AA$11&lt;=$E359),VLOOKUP($F359,$K$2:AO$8,AA$1,"Falsch"),"")</f>
        <v/>
      </c>
      <c r="AB359" s="16" t="str">
        <f>IF(AND(AB$10&gt;=$D359,AB$11&lt;=$E359),VLOOKUP($F359,$K$2:AP$8,AB$1,"Falsch"),"")</f>
        <v/>
      </c>
      <c r="AC359" s="16" t="str">
        <f>IF(AND(AC$10&gt;=$D359,AC$11&lt;=$E359),VLOOKUP($F359,$K$2:AQ$8,AC$1,"Falsch"),"")</f>
        <v/>
      </c>
      <c r="AD359" s="16" t="str">
        <f>IF(AND(AD$10&gt;=$D359,AD$11&lt;=$E359),VLOOKUP($F359,$K$2:AR$8,AD$1,"Falsch"),"")</f>
        <v/>
      </c>
    </row>
    <row r="360" spans="9:30" x14ac:dyDescent="0.25">
      <c r="I360" s="21">
        <f t="shared" si="41"/>
        <v>0</v>
      </c>
      <c r="K360" s="25">
        <f t="shared" si="40"/>
        <v>0</v>
      </c>
      <c r="L360" s="16" t="str">
        <f>IF(AND(L$10&gt;=$D360,L$11&lt;=$E360),VLOOKUP($F360,$K$2:Z$8,L$1,"Falsch"),"")</f>
        <v/>
      </c>
      <c r="M360" s="16" t="str">
        <f>IF(AND(M$10&gt;=$D360,M$11&lt;=$E360),VLOOKUP($F360,$K$2:AA$8,M$1,"Falsch"),"")</f>
        <v/>
      </c>
      <c r="N360" s="16" t="str">
        <f>IF(AND(N$10&gt;=$D360,N$11&lt;=$E360),VLOOKUP($F360,$K$2:AB$8,N$1,"Falsch"),"")</f>
        <v/>
      </c>
      <c r="O360" s="16" t="str">
        <f>IF(AND(O$10&gt;=$D360,O$11&lt;=$E360),VLOOKUP($F360,$K$2:AC$8,O$1,"Falsch"),"")</f>
        <v/>
      </c>
      <c r="P360" s="16" t="str">
        <f>IF(AND(P$10&gt;=$D360,P$11&lt;=$E360),VLOOKUP($F360,$K$2:AD$8,P$1,"Falsch"),"")</f>
        <v/>
      </c>
      <c r="Q360" s="16" t="str">
        <f>IF(AND(Q$10&gt;=$D360,Q$11&lt;=$E360),VLOOKUP($F360,$K$2:AE$8,Q$1,"Falsch"),"")</f>
        <v/>
      </c>
      <c r="R360" s="16" t="str">
        <f>IF(AND(R$10&gt;=$D360,R$11&lt;=$E360),VLOOKUP($F360,$K$2:AF$8,R$1,"Falsch"),"")</f>
        <v/>
      </c>
      <c r="S360" s="16" t="str">
        <f>IF(AND(S$10&gt;=$D360,S$11&lt;=$E360),VLOOKUP($F360,$K$2:AG$8,S$1,"Falsch"),"")</f>
        <v/>
      </c>
      <c r="T360" s="16" t="str">
        <f>IF(AND(T$10&gt;=$D360,T$11&lt;=$E360),VLOOKUP($F360,$K$2:AH$8,T$1,"Falsch"),"")</f>
        <v/>
      </c>
      <c r="U360" s="16" t="str">
        <f>IF(AND(U$10&gt;=$D360,U$11&lt;=$E360),VLOOKUP($F360,$K$2:AI$8,U$1,"Falsch"),"")</f>
        <v/>
      </c>
      <c r="V360" s="16" t="str">
        <f>IF(AND(V$10&gt;=$D360,V$11&lt;=$E360),VLOOKUP($F360,$K$2:AJ$8,V$1,"Falsch"),"")</f>
        <v/>
      </c>
      <c r="W360" s="16" t="str">
        <f>IF(AND(W$10&gt;=$D360,W$11&lt;=$E360),VLOOKUP($F360,$K$2:AK$8,W$1,"Falsch"),"")</f>
        <v/>
      </c>
      <c r="X360" s="16" t="str">
        <f>IF(AND(X$10&gt;=$D360,X$11&lt;=$E360),VLOOKUP($F360,$K$2:AL$8,X$1,"Falsch"),"")</f>
        <v/>
      </c>
      <c r="Y360" s="16" t="str">
        <f>IF(AND(Y$10&gt;=$D360,Y$11&lt;=$E360),VLOOKUP($F360,$K$2:AM$8,Y$1,"Falsch"),"")</f>
        <v/>
      </c>
      <c r="Z360" s="16" t="str">
        <f>IF(AND(Z$10&gt;=$D360,Z$11&lt;=$E360),VLOOKUP($F360,$K$2:AN$8,Z$1,"Falsch"),"")</f>
        <v/>
      </c>
      <c r="AA360" s="16" t="str">
        <f>IF(AND(AA$10&gt;=$D360,AA$11&lt;=$E360),VLOOKUP($F360,$K$2:AO$8,AA$1,"Falsch"),"")</f>
        <v/>
      </c>
      <c r="AB360" s="16" t="str">
        <f>IF(AND(AB$10&gt;=$D360,AB$11&lt;=$E360),VLOOKUP($F360,$K$2:AP$8,AB$1,"Falsch"),"")</f>
        <v/>
      </c>
      <c r="AC360" s="16" t="str">
        <f>IF(AND(AC$10&gt;=$D360,AC$11&lt;=$E360),VLOOKUP($F360,$K$2:AQ$8,AC$1,"Falsch"),"")</f>
        <v/>
      </c>
      <c r="AD360" s="16" t="str">
        <f>IF(AND(AD$10&gt;=$D360,AD$11&lt;=$E360),VLOOKUP($F360,$K$2:AR$8,AD$1,"Falsch"),"")</f>
        <v/>
      </c>
    </row>
    <row r="361" spans="9:30" x14ac:dyDescent="0.25">
      <c r="I361" s="21">
        <f t="shared" si="41"/>
        <v>0</v>
      </c>
      <c r="K361" s="25">
        <f t="shared" si="40"/>
        <v>0</v>
      </c>
      <c r="L361" s="16" t="str">
        <f>IF(AND(L$10&gt;=$D361,L$11&lt;=$E361),VLOOKUP($F361,$K$2:Z$8,L$1,"Falsch"),"")</f>
        <v/>
      </c>
      <c r="M361" s="16" t="str">
        <f>IF(AND(M$10&gt;=$D361,M$11&lt;=$E361),VLOOKUP($F361,$K$2:AA$8,M$1,"Falsch"),"")</f>
        <v/>
      </c>
      <c r="N361" s="16" t="str">
        <f>IF(AND(N$10&gt;=$D361,N$11&lt;=$E361),VLOOKUP($F361,$K$2:AB$8,N$1,"Falsch"),"")</f>
        <v/>
      </c>
      <c r="O361" s="16" t="str">
        <f>IF(AND(O$10&gt;=$D361,O$11&lt;=$E361),VLOOKUP($F361,$K$2:AC$8,O$1,"Falsch"),"")</f>
        <v/>
      </c>
      <c r="P361" s="16" t="str">
        <f>IF(AND(P$10&gt;=$D361,P$11&lt;=$E361),VLOOKUP($F361,$K$2:AD$8,P$1,"Falsch"),"")</f>
        <v/>
      </c>
      <c r="Q361" s="16" t="str">
        <f>IF(AND(Q$10&gt;=$D361,Q$11&lt;=$E361),VLOOKUP($F361,$K$2:AE$8,Q$1,"Falsch"),"")</f>
        <v/>
      </c>
      <c r="R361" s="16" t="str">
        <f>IF(AND(R$10&gt;=$D361,R$11&lt;=$E361),VLOOKUP($F361,$K$2:AF$8,R$1,"Falsch"),"")</f>
        <v/>
      </c>
      <c r="S361" s="16" t="str">
        <f>IF(AND(S$10&gt;=$D361,S$11&lt;=$E361),VLOOKUP($F361,$K$2:AG$8,S$1,"Falsch"),"")</f>
        <v/>
      </c>
      <c r="T361" s="16" t="str">
        <f>IF(AND(T$10&gt;=$D361,T$11&lt;=$E361),VLOOKUP($F361,$K$2:AH$8,T$1,"Falsch"),"")</f>
        <v/>
      </c>
      <c r="U361" s="16" t="str">
        <f>IF(AND(U$10&gt;=$D361,U$11&lt;=$E361),VLOOKUP($F361,$K$2:AI$8,U$1,"Falsch"),"")</f>
        <v/>
      </c>
      <c r="V361" s="16" t="str">
        <f>IF(AND(V$10&gt;=$D361,V$11&lt;=$E361),VLOOKUP($F361,$K$2:AJ$8,V$1,"Falsch"),"")</f>
        <v/>
      </c>
      <c r="W361" s="16" t="str">
        <f>IF(AND(W$10&gt;=$D361,W$11&lt;=$E361),VLOOKUP($F361,$K$2:AK$8,W$1,"Falsch"),"")</f>
        <v/>
      </c>
      <c r="X361" s="16" t="str">
        <f>IF(AND(X$10&gt;=$D361,X$11&lt;=$E361),VLOOKUP($F361,$K$2:AL$8,X$1,"Falsch"),"")</f>
        <v/>
      </c>
      <c r="Y361" s="16" t="str">
        <f>IF(AND(Y$10&gt;=$D361,Y$11&lt;=$E361),VLOOKUP($F361,$K$2:AM$8,Y$1,"Falsch"),"")</f>
        <v/>
      </c>
      <c r="Z361" s="16" t="str">
        <f>IF(AND(Z$10&gt;=$D361,Z$11&lt;=$E361),VLOOKUP($F361,$K$2:AN$8,Z$1,"Falsch"),"")</f>
        <v/>
      </c>
      <c r="AA361" s="16" t="str">
        <f>IF(AND(AA$10&gt;=$D361,AA$11&lt;=$E361),VLOOKUP($F361,$K$2:AO$8,AA$1,"Falsch"),"")</f>
        <v/>
      </c>
      <c r="AB361" s="16" t="str">
        <f>IF(AND(AB$10&gt;=$D361,AB$11&lt;=$E361),VLOOKUP($F361,$K$2:AP$8,AB$1,"Falsch"),"")</f>
        <v/>
      </c>
      <c r="AC361" s="16" t="str">
        <f>IF(AND(AC$10&gt;=$D361,AC$11&lt;=$E361),VLOOKUP($F361,$K$2:AQ$8,AC$1,"Falsch"),"")</f>
        <v/>
      </c>
      <c r="AD361" s="16" t="str">
        <f>IF(AND(AD$10&gt;=$D361,AD$11&lt;=$E361),VLOOKUP($F361,$K$2:AR$8,AD$1,"Falsch"),"")</f>
        <v/>
      </c>
    </row>
    <row r="362" spans="9:30" x14ac:dyDescent="0.25">
      <c r="I362" s="21">
        <f t="shared" si="41"/>
        <v>0</v>
      </c>
      <c r="K362" s="25">
        <f t="shared" si="40"/>
        <v>0</v>
      </c>
      <c r="L362" s="16" t="str">
        <f>IF(AND(L$10&gt;=$D362,L$11&lt;=$E362),VLOOKUP($F362,$K$2:Z$8,L$1,"Falsch"),"")</f>
        <v/>
      </c>
      <c r="M362" s="16" t="str">
        <f>IF(AND(M$10&gt;=$D362,M$11&lt;=$E362),VLOOKUP($F362,$K$2:AA$8,M$1,"Falsch"),"")</f>
        <v/>
      </c>
      <c r="N362" s="16" t="str">
        <f>IF(AND(N$10&gt;=$D362,N$11&lt;=$E362),VLOOKUP($F362,$K$2:AB$8,N$1,"Falsch"),"")</f>
        <v/>
      </c>
      <c r="O362" s="16" t="str">
        <f>IF(AND(O$10&gt;=$D362,O$11&lt;=$E362),VLOOKUP($F362,$K$2:AC$8,O$1,"Falsch"),"")</f>
        <v/>
      </c>
      <c r="P362" s="16" t="str">
        <f>IF(AND(P$10&gt;=$D362,P$11&lt;=$E362),VLOOKUP($F362,$K$2:AD$8,P$1,"Falsch"),"")</f>
        <v/>
      </c>
      <c r="Q362" s="16" t="str">
        <f>IF(AND(Q$10&gt;=$D362,Q$11&lt;=$E362),VLOOKUP($F362,$K$2:AE$8,Q$1,"Falsch"),"")</f>
        <v/>
      </c>
      <c r="R362" s="16" t="str">
        <f>IF(AND(R$10&gt;=$D362,R$11&lt;=$E362),VLOOKUP($F362,$K$2:AF$8,R$1,"Falsch"),"")</f>
        <v/>
      </c>
      <c r="S362" s="16" t="str">
        <f>IF(AND(S$10&gt;=$D362,S$11&lt;=$E362),VLOOKUP($F362,$K$2:AG$8,S$1,"Falsch"),"")</f>
        <v/>
      </c>
      <c r="T362" s="16" t="str">
        <f>IF(AND(T$10&gt;=$D362,T$11&lt;=$E362),VLOOKUP($F362,$K$2:AH$8,T$1,"Falsch"),"")</f>
        <v/>
      </c>
      <c r="U362" s="16" t="str">
        <f>IF(AND(U$10&gt;=$D362,U$11&lt;=$E362),VLOOKUP($F362,$K$2:AI$8,U$1,"Falsch"),"")</f>
        <v/>
      </c>
      <c r="V362" s="16" t="str">
        <f>IF(AND(V$10&gt;=$D362,V$11&lt;=$E362),VLOOKUP($F362,$K$2:AJ$8,V$1,"Falsch"),"")</f>
        <v/>
      </c>
      <c r="W362" s="16" t="str">
        <f>IF(AND(W$10&gt;=$D362,W$11&lt;=$E362),VLOOKUP($F362,$K$2:AK$8,W$1,"Falsch"),"")</f>
        <v/>
      </c>
      <c r="X362" s="16" t="str">
        <f>IF(AND(X$10&gt;=$D362,X$11&lt;=$E362),VLOOKUP($F362,$K$2:AL$8,X$1,"Falsch"),"")</f>
        <v/>
      </c>
      <c r="Y362" s="16" t="str">
        <f>IF(AND(Y$10&gt;=$D362,Y$11&lt;=$E362),VLOOKUP($F362,$K$2:AM$8,Y$1,"Falsch"),"")</f>
        <v/>
      </c>
      <c r="Z362" s="16" t="str">
        <f>IF(AND(Z$10&gt;=$D362,Z$11&lt;=$E362),VLOOKUP($F362,$K$2:AN$8,Z$1,"Falsch"),"")</f>
        <v/>
      </c>
      <c r="AA362" s="16" t="str">
        <f>IF(AND(AA$10&gt;=$D362,AA$11&lt;=$E362),VLOOKUP($F362,$K$2:AO$8,AA$1,"Falsch"),"")</f>
        <v/>
      </c>
      <c r="AB362" s="16" t="str">
        <f>IF(AND(AB$10&gt;=$D362,AB$11&lt;=$E362),VLOOKUP($F362,$K$2:AP$8,AB$1,"Falsch"),"")</f>
        <v/>
      </c>
      <c r="AC362" s="16" t="str">
        <f>IF(AND(AC$10&gt;=$D362,AC$11&lt;=$E362),VLOOKUP($F362,$K$2:AQ$8,AC$1,"Falsch"),"")</f>
        <v/>
      </c>
      <c r="AD362" s="16" t="str">
        <f>IF(AND(AD$10&gt;=$D362,AD$11&lt;=$E362),VLOOKUP($F362,$K$2:AR$8,AD$1,"Falsch"),"")</f>
        <v/>
      </c>
    </row>
    <row r="363" spans="9:30" x14ac:dyDescent="0.25">
      <c r="I363" s="21">
        <f t="shared" si="41"/>
        <v>0</v>
      </c>
      <c r="K363" s="25">
        <f t="shared" si="40"/>
        <v>0</v>
      </c>
      <c r="L363" s="16" t="str">
        <f>IF(AND(L$10&gt;=$D363,L$11&lt;=$E363),VLOOKUP($F363,$K$2:Z$8,L$1,"Falsch"),"")</f>
        <v/>
      </c>
      <c r="M363" s="16" t="str">
        <f>IF(AND(M$10&gt;=$D363,M$11&lt;=$E363),VLOOKUP($F363,$K$2:AA$8,M$1,"Falsch"),"")</f>
        <v/>
      </c>
      <c r="N363" s="16" t="str">
        <f>IF(AND(N$10&gt;=$D363,N$11&lt;=$E363),VLOOKUP($F363,$K$2:AB$8,N$1,"Falsch"),"")</f>
        <v/>
      </c>
      <c r="O363" s="16" t="str">
        <f>IF(AND(O$10&gt;=$D363,O$11&lt;=$E363),VLOOKUP($F363,$K$2:AC$8,O$1,"Falsch"),"")</f>
        <v/>
      </c>
      <c r="P363" s="16" t="str">
        <f>IF(AND(P$10&gt;=$D363,P$11&lt;=$E363),VLOOKUP($F363,$K$2:AD$8,P$1,"Falsch"),"")</f>
        <v/>
      </c>
      <c r="Q363" s="16" t="str">
        <f>IF(AND(Q$10&gt;=$D363,Q$11&lt;=$E363),VLOOKUP($F363,$K$2:AE$8,Q$1,"Falsch"),"")</f>
        <v/>
      </c>
      <c r="R363" s="16" t="str">
        <f>IF(AND(R$10&gt;=$D363,R$11&lt;=$E363),VLOOKUP($F363,$K$2:AF$8,R$1,"Falsch"),"")</f>
        <v/>
      </c>
      <c r="S363" s="16" t="str">
        <f>IF(AND(S$10&gt;=$D363,S$11&lt;=$E363),VLOOKUP($F363,$K$2:AG$8,S$1,"Falsch"),"")</f>
        <v/>
      </c>
      <c r="T363" s="16" t="str">
        <f>IF(AND(T$10&gt;=$D363,T$11&lt;=$E363),VLOOKUP($F363,$K$2:AH$8,T$1,"Falsch"),"")</f>
        <v/>
      </c>
      <c r="U363" s="16" t="str">
        <f>IF(AND(U$10&gt;=$D363,U$11&lt;=$E363),VLOOKUP($F363,$K$2:AI$8,U$1,"Falsch"),"")</f>
        <v/>
      </c>
      <c r="V363" s="16" t="str">
        <f>IF(AND(V$10&gt;=$D363,V$11&lt;=$E363),VLOOKUP($F363,$K$2:AJ$8,V$1,"Falsch"),"")</f>
        <v/>
      </c>
      <c r="W363" s="16" t="str">
        <f>IF(AND(W$10&gt;=$D363,W$11&lt;=$E363),VLOOKUP($F363,$K$2:AK$8,W$1,"Falsch"),"")</f>
        <v/>
      </c>
      <c r="X363" s="16" t="str">
        <f>IF(AND(X$10&gt;=$D363,X$11&lt;=$E363),VLOOKUP($F363,$K$2:AL$8,X$1,"Falsch"),"")</f>
        <v/>
      </c>
      <c r="Y363" s="16" t="str">
        <f>IF(AND(Y$10&gt;=$D363,Y$11&lt;=$E363),VLOOKUP($F363,$K$2:AM$8,Y$1,"Falsch"),"")</f>
        <v/>
      </c>
      <c r="Z363" s="16" t="str">
        <f>IF(AND(Z$10&gt;=$D363,Z$11&lt;=$E363),VLOOKUP($F363,$K$2:AN$8,Z$1,"Falsch"),"")</f>
        <v/>
      </c>
      <c r="AA363" s="16" t="str">
        <f>IF(AND(AA$10&gt;=$D363,AA$11&lt;=$E363),VLOOKUP($F363,$K$2:AO$8,AA$1,"Falsch"),"")</f>
        <v/>
      </c>
      <c r="AB363" s="16" t="str">
        <f>IF(AND(AB$10&gt;=$D363,AB$11&lt;=$E363),VLOOKUP($F363,$K$2:AP$8,AB$1,"Falsch"),"")</f>
        <v/>
      </c>
      <c r="AC363" s="16" t="str">
        <f>IF(AND(AC$10&gt;=$D363,AC$11&lt;=$E363),VLOOKUP($F363,$K$2:AQ$8,AC$1,"Falsch"),"")</f>
        <v/>
      </c>
      <c r="AD363" s="16" t="str">
        <f>IF(AND(AD$10&gt;=$D363,AD$11&lt;=$E363),VLOOKUP($F363,$K$2:AR$8,AD$1,"Falsch"),"")</f>
        <v/>
      </c>
    </row>
    <row r="364" spans="9:30" x14ac:dyDescent="0.25">
      <c r="I364" s="21">
        <f t="shared" si="41"/>
        <v>0</v>
      </c>
      <c r="K364" s="25">
        <f t="shared" si="40"/>
        <v>0</v>
      </c>
      <c r="L364" s="16" t="str">
        <f>IF(AND(L$10&gt;=$D364,L$11&lt;=$E364),VLOOKUP($F364,$K$2:Z$8,L$1,"Falsch"),"")</f>
        <v/>
      </c>
      <c r="M364" s="16" t="str">
        <f>IF(AND(M$10&gt;=$D364,M$11&lt;=$E364),VLOOKUP($F364,$K$2:AA$8,M$1,"Falsch"),"")</f>
        <v/>
      </c>
      <c r="N364" s="16" t="str">
        <f>IF(AND(N$10&gt;=$D364,N$11&lt;=$E364),VLOOKUP($F364,$K$2:AB$8,N$1,"Falsch"),"")</f>
        <v/>
      </c>
      <c r="O364" s="16" t="str">
        <f>IF(AND(O$10&gt;=$D364,O$11&lt;=$E364),VLOOKUP($F364,$K$2:AC$8,O$1,"Falsch"),"")</f>
        <v/>
      </c>
      <c r="P364" s="16" t="str">
        <f>IF(AND(P$10&gt;=$D364,P$11&lt;=$E364),VLOOKUP($F364,$K$2:AD$8,P$1,"Falsch"),"")</f>
        <v/>
      </c>
      <c r="Q364" s="16" t="str">
        <f>IF(AND(Q$10&gt;=$D364,Q$11&lt;=$E364),VLOOKUP($F364,$K$2:AE$8,Q$1,"Falsch"),"")</f>
        <v/>
      </c>
      <c r="R364" s="16" t="str">
        <f>IF(AND(R$10&gt;=$D364,R$11&lt;=$E364),VLOOKUP($F364,$K$2:AF$8,R$1,"Falsch"),"")</f>
        <v/>
      </c>
      <c r="S364" s="16" t="str">
        <f>IF(AND(S$10&gt;=$D364,S$11&lt;=$E364),VLOOKUP($F364,$K$2:AG$8,S$1,"Falsch"),"")</f>
        <v/>
      </c>
      <c r="T364" s="16" t="str">
        <f>IF(AND(T$10&gt;=$D364,T$11&lt;=$E364),VLOOKUP($F364,$K$2:AH$8,T$1,"Falsch"),"")</f>
        <v/>
      </c>
      <c r="U364" s="16" t="str">
        <f>IF(AND(U$10&gt;=$D364,U$11&lt;=$E364),VLOOKUP($F364,$K$2:AI$8,U$1,"Falsch"),"")</f>
        <v/>
      </c>
      <c r="V364" s="16" t="str">
        <f>IF(AND(V$10&gt;=$D364,V$11&lt;=$E364),VLOOKUP($F364,$K$2:AJ$8,V$1,"Falsch"),"")</f>
        <v/>
      </c>
      <c r="W364" s="16" t="str">
        <f>IF(AND(W$10&gt;=$D364,W$11&lt;=$E364),VLOOKUP($F364,$K$2:AK$8,W$1,"Falsch"),"")</f>
        <v/>
      </c>
      <c r="X364" s="16" t="str">
        <f>IF(AND(X$10&gt;=$D364,X$11&lt;=$E364),VLOOKUP($F364,$K$2:AL$8,X$1,"Falsch"),"")</f>
        <v/>
      </c>
      <c r="Y364" s="16" t="str">
        <f>IF(AND(Y$10&gt;=$D364,Y$11&lt;=$E364),VLOOKUP($F364,$K$2:AM$8,Y$1,"Falsch"),"")</f>
        <v/>
      </c>
      <c r="Z364" s="16" t="str">
        <f>IF(AND(Z$10&gt;=$D364,Z$11&lt;=$E364),VLOOKUP($F364,$K$2:AN$8,Z$1,"Falsch"),"")</f>
        <v/>
      </c>
      <c r="AA364" s="16" t="str">
        <f>IF(AND(AA$10&gt;=$D364,AA$11&lt;=$E364),VLOOKUP($F364,$K$2:AO$8,AA$1,"Falsch"),"")</f>
        <v/>
      </c>
      <c r="AB364" s="16" t="str">
        <f>IF(AND(AB$10&gt;=$D364,AB$11&lt;=$E364),VLOOKUP($F364,$K$2:AP$8,AB$1,"Falsch"),"")</f>
        <v/>
      </c>
      <c r="AC364" s="16" t="str">
        <f>IF(AND(AC$10&gt;=$D364,AC$11&lt;=$E364),VLOOKUP($F364,$K$2:AQ$8,AC$1,"Falsch"),"")</f>
        <v/>
      </c>
      <c r="AD364" s="16" t="str">
        <f>IF(AND(AD$10&gt;=$D364,AD$11&lt;=$E364),VLOOKUP($F364,$K$2:AR$8,AD$1,"Falsch"),"")</f>
        <v/>
      </c>
    </row>
    <row r="365" spans="9:30" x14ac:dyDescent="0.25">
      <c r="I365" s="21">
        <f t="shared" si="41"/>
        <v>0</v>
      </c>
      <c r="K365" s="25">
        <f t="shared" si="40"/>
        <v>0</v>
      </c>
      <c r="L365" s="16" t="str">
        <f>IF(AND(L$10&gt;=$D365,L$11&lt;=$E365),VLOOKUP($F365,$K$2:Z$8,L$1,"Falsch"),"")</f>
        <v/>
      </c>
      <c r="M365" s="16" t="str">
        <f>IF(AND(M$10&gt;=$D365,M$11&lt;=$E365),VLOOKUP($F365,$K$2:AA$8,M$1,"Falsch"),"")</f>
        <v/>
      </c>
      <c r="N365" s="16" t="str">
        <f>IF(AND(N$10&gt;=$D365,N$11&lt;=$E365),VLOOKUP($F365,$K$2:AB$8,N$1,"Falsch"),"")</f>
        <v/>
      </c>
      <c r="O365" s="16" t="str">
        <f>IF(AND(O$10&gt;=$D365,O$11&lt;=$E365),VLOOKUP($F365,$K$2:AC$8,O$1,"Falsch"),"")</f>
        <v/>
      </c>
      <c r="P365" s="16" t="str">
        <f>IF(AND(P$10&gt;=$D365,P$11&lt;=$E365),VLOOKUP($F365,$K$2:AD$8,P$1,"Falsch"),"")</f>
        <v/>
      </c>
      <c r="Q365" s="16" t="str">
        <f>IF(AND(Q$10&gt;=$D365,Q$11&lt;=$E365),VLOOKUP($F365,$K$2:AE$8,Q$1,"Falsch"),"")</f>
        <v/>
      </c>
      <c r="R365" s="16" t="str">
        <f>IF(AND(R$10&gt;=$D365,R$11&lt;=$E365),VLOOKUP($F365,$K$2:AF$8,R$1,"Falsch"),"")</f>
        <v/>
      </c>
      <c r="S365" s="16" t="str">
        <f>IF(AND(S$10&gt;=$D365,S$11&lt;=$E365),VLOOKUP($F365,$K$2:AG$8,S$1,"Falsch"),"")</f>
        <v/>
      </c>
      <c r="T365" s="16" t="str">
        <f>IF(AND(T$10&gt;=$D365,T$11&lt;=$E365),VLOOKUP($F365,$K$2:AH$8,T$1,"Falsch"),"")</f>
        <v/>
      </c>
      <c r="U365" s="16" t="str">
        <f>IF(AND(U$10&gt;=$D365,U$11&lt;=$E365),VLOOKUP($F365,$K$2:AI$8,U$1,"Falsch"),"")</f>
        <v/>
      </c>
      <c r="V365" s="16" t="str">
        <f>IF(AND(V$10&gt;=$D365,V$11&lt;=$E365),VLOOKUP($F365,$K$2:AJ$8,V$1,"Falsch"),"")</f>
        <v/>
      </c>
      <c r="W365" s="16" t="str">
        <f>IF(AND(W$10&gt;=$D365,W$11&lt;=$E365),VLOOKUP($F365,$K$2:AK$8,W$1,"Falsch"),"")</f>
        <v/>
      </c>
      <c r="X365" s="16" t="str">
        <f>IF(AND(X$10&gt;=$D365,X$11&lt;=$E365),VLOOKUP($F365,$K$2:AL$8,X$1,"Falsch"),"")</f>
        <v/>
      </c>
      <c r="Y365" s="16" t="str">
        <f>IF(AND(Y$10&gt;=$D365,Y$11&lt;=$E365),VLOOKUP($F365,$K$2:AM$8,Y$1,"Falsch"),"")</f>
        <v/>
      </c>
      <c r="Z365" s="16" t="str">
        <f>IF(AND(Z$10&gt;=$D365,Z$11&lt;=$E365),VLOOKUP($F365,$K$2:AN$8,Z$1,"Falsch"),"")</f>
        <v/>
      </c>
      <c r="AA365" s="16" t="str">
        <f>IF(AND(AA$10&gt;=$D365,AA$11&lt;=$E365),VLOOKUP($F365,$K$2:AO$8,AA$1,"Falsch"),"")</f>
        <v/>
      </c>
      <c r="AB365" s="16" t="str">
        <f>IF(AND(AB$10&gt;=$D365,AB$11&lt;=$E365),VLOOKUP($F365,$K$2:AP$8,AB$1,"Falsch"),"")</f>
        <v/>
      </c>
      <c r="AC365" s="16" t="str">
        <f>IF(AND(AC$10&gt;=$D365,AC$11&lt;=$E365),VLOOKUP($F365,$K$2:AQ$8,AC$1,"Falsch"),"")</f>
        <v/>
      </c>
      <c r="AD365" s="16" t="str">
        <f>IF(AND(AD$10&gt;=$D365,AD$11&lt;=$E365),VLOOKUP($F365,$K$2:AR$8,AD$1,"Falsch"),"")</f>
        <v/>
      </c>
    </row>
    <row r="366" spans="9:30" x14ac:dyDescent="0.25">
      <c r="I366" s="21">
        <f t="shared" si="41"/>
        <v>0</v>
      </c>
      <c r="K366" s="25">
        <f t="shared" si="40"/>
        <v>0</v>
      </c>
      <c r="L366" s="16" t="str">
        <f>IF(AND(L$10&gt;=$D366,L$11&lt;=$E366),VLOOKUP($F366,$K$2:Z$8,L$1,"Falsch"),"")</f>
        <v/>
      </c>
      <c r="M366" s="16" t="str">
        <f>IF(AND(M$10&gt;=$D366,M$11&lt;=$E366),VLOOKUP($F366,$K$2:AA$8,M$1,"Falsch"),"")</f>
        <v/>
      </c>
      <c r="N366" s="16" t="str">
        <f>IF(AND(N$10&gt;=$D366,N$11&lt;=$E366),VLOOKUP($F366,$K$2:AB$8,N$1,"Falsch"),"")</f>
        <v/>
      </c>
      <c r="O366" s="16" t="str">
        <f>IF(AND(O$10&gt;=$D366,O$11&lt;=$E366),VLOOKUP($F366,$K$2:AC$8,O$1,"Falsch"),"")</f>
        <v/>
      </c>
      <c r="P366" s="16" t="str">
        <f>IF(AND(P$10&gt;=$D366,P$11&lt;=$E366),VLOOKUP($F366,$K$2:AD$8,P$1,"Falsch"),"")</f>
        <v/>
      </c>
      <c r="Q366" s="16" t="str">
        <f>IF(AND(Q$10&gt;=$D366,Q$11&lt;=$E366),VLOOKUP($F366,$K$2:AE$8,Q$1,"Falsch"),"")</f>
        <v/>
      </c>
      <c r="R366" s="16" t="str">
        <f>IF(AND(R$10&gt;=$D366,R$11&lt;=$E366),VLOOKUP($F366,$K$2:AF$8,R$1,"Falsch"),"")</f>
        <v/>
      </c>
      <c r="S366" s="16" t="str">
        <f>IF(AND(S$10&gt;=$D366,S$11&lt;=$E366),VLOOKUP($F366,$K$2:AG$8,S$1,"Falsch"),"")</f>
        <v/>
      </c>
      <c r="T366" s="16" t="str">
        <f>IF(AND(T$10&gt;=$D366,T$11&lt;=$E366),VLOOKUP($F366,$K$2:AH$8,T$1,"Falsch"),"")</f>
        <v/>
      </c>
      <c r="U366" s="16" t="str">
        <f>IF(AND(U$10&gt;=$D366,U$11&lt;=$E366),VLOOKUP($F366,$K$2:AI$8,U$1,"Falsch"),"")</f>
        <v/>
      </c>
      <c r="V366" s="16" t="str">
        <f>IF(AND(V$10&gt;=$D366,V$11&lt;=$E366),VLOOKUP($F366,$K$2:AJ$8,V$1,"Falsch"),"")</f>
        <v/>
      </c>
      <c r="W366" s="16" t="str">
        <f>IF(AND(W$10&gt;=$D366,W$11&lt;=$E366),VLOOKUP($F366,$K$2:AK$8,W$1,"Falsch"),"")</f>
        <v/>
      </c>
      <c r="X366" s="16" t="str">
        <f>IF(AND(X$10&gt;=$D366,X$11&lt;=$E366),VLOOKUP($F366,$K$2:AL$8,X$1,"Falsch"),"")</f>
        <v/>
      </c>
      <c r="Y366" s="16" t="str">
        <f>IF(AND(Y$10&gt;=$D366,Y$11&lt;=$E366),VLOOKUP($F366,$K$2:AM$8,Y$1,"Falsch"),"")</f>
        <v/>
      </c>
      <c r="Z366" s="16" t="str">
        <f>IF(AND(Z$10&gt;=$D366,Z$11&lt;=$E366),VLOOKUP($F366,$K$2:AN$8,Z$1,"Falsch"),"")</f>
        <v/>
      </c>
      <c r="AA366" s="16" t="str">
        <f>IF(AND(AA$10&gt;=$D366,AA$11&lt;=$E366),VLOOKUP($F366,$K$2:AO$8,AA$1,"Falsch"),"")</f>
        <v/>
      </c>
      <c r="AB366" s="16" t="str">
        <f>IF(AND(AB$10&gt;=$D366,AB$11&lt;=$E366),VLOOKUP($F366,$K$2:AP$8,AB$1,"Falsch"),"")</f>
        <v/>
      </c>
      <c r="AC366" s="16" t="str">
        <f>IF(AND(AC$10&gt;=$D366,AC$11&lt;=$E366),VLOOKUP($F366,$K$2:AQ$8,AC$1,"Falsch"),"")</f>
        <v/>
      </c>
      <c r="AD366" s="16" t="str">
        <f>IF(AND(AD$10&gt;=$D366,AD$11&lt;=$E366),VLOOKUP($F366,$K$2:AR$8,AD$1,"Falsch"),"")</f>
        <v/>
      </c>
    </row>
    <row r="367" spans="9:30" x14ac:dyDescent="0.25">
      <c r="I367" s="21">
        <f t="shared" si="41"/>
        <v>0</v>
      </c>
      <c r="K367" s="25">
        <f t="shared" si="40"/>
        <v>0</v>
      </c>
      <c r="L367" s="16" t="str">
        <f>IF(AND(L$10&gt;=$D367,L$11&lt;=$E367),VLOOKUP($F367,$K$2:Z$8,L$1,"Falsch"),"")</f>
        <v/>
      </c>
      <c r="M367" s="16" t="str">
        <f>IF(AND(M$10&gt;=$D367,M$11&lt;=$E367),VLOOKUP($F367,$K$2:AA$8,M$1,"Falsch"),"")</f>
        <v/>
      </c>
      <c r="N367" s="16" t="str">
        <f>IF(AND(N$10&gt;=$D367,N$11&lt;=$E367),VLOOKUP($F367,$K$2:AB$8,N$1,"Falsch"),"")</f>
        <v/>
      </c>
      <c r="O367" s="16" t="str">
        <f>IF(AND(O$10&gt;=$D367,O$11&lt;=$E367),VLOOKUP($F367,$K$2:AC$8,O$1,"Falsch"),"")</f>
        <v/>
      </c>
      <c r="P367" s="16" t="str">
        <f>IF(AND(P$10&gt;=$D367,P$11&lt;=$E367),VLOOKUP($F367,$K$2:AD$8,P$1,"Falsch"),"")</f>
        <v/>
      </c>
      <c r="Q367" s="16" t="str">
        <f>IF(AND(Q$10&gt;=$D367,Q$11&lt;=$E367),VLOOKUP($F367,$K$2:AE$8,Q$1,"Falsch"),"")</f>
        <v/>
      </c>
      <c r="R367" s="16" t="str">
        <f>IF(AND(R$10&gt;=$D367,R$11&lt;=$E367),VLOOKUP($F367,$K$2:AF$8,R$1,"Falsch"),"")</f>
        <v/>
      </c>
      <c r="S367" s="16" t="str">
        <f>IF(AND(S$10&gt;=$D367,S$11&lt;=$E367),VLOOKUP($F367,$K$2:AG$8,S$1,"Falsch"),"")</f>
        <v/>
      </c>
      <c r="T367" s="16" t="str">
        <f>IF(AND(T$10&gt;=$D367,T$11&lt;=$E367),VLOOKUP($F367,$K$2:AH$8,T$1,"Falsch"),"")</f>
        <v/>
      </c>
      <c r="U367" s="16" t="str">
        <f>IF(AND(U$10&gt;=$D367,U$11&lt;=$E367),VLOOKUP($F367,$K$2:AI$8,U$1,"Falsch"),"")</f>
        <v/>
      </c>
      <c r="V367" s="16" t="str">
        <f>IF(AND(V$10&gt;=$D367,V$11&lt;=$E367),VLOOKUP($F367,$K$2:AJ$8,V$1,"Falsch"),"")</f>
        <v/>
      </c>
      <c r="W367" s="16" t="str">
        <f>IF(AND(W$10&gt;=$D367,W$11&lt;=$E367),VLOOKUP($F367,$K$2:AK$8,W$1,"Falsch"),"")</f>
        <v/>
      </c>
      <c r="X367" s="16" t="str">
        <f>IF(AND(X$10&gt;=$D367,X$11&lt;=$E367),VLOOKUP($F367,$K$2:AL$8,X$1,"Falsch"),"")</f>
        <v/>
      </c>
      <c r="Y367" s="16" t="str">
        <f>IF(AND(Y$10&gt;=$D367,Y$11&lt;=$E367),VLOOKUP($F367,$K$2:AM$8,Y$1,"Falsch"),"")</f>
        <v/>
      </c>
      <c r="Z367" s="16" t="str">
        <f>IF(AND(Z$10&gt;=$D367,Z$11&lt;=$E367),VLOOKUP($F367,$K$2:AN$8,Z$1,"Falsch"),"")</f>
        <v/>
      </c>
      <c r="AA367" s="16" t="str">
        <f>IF(AND(AA$10&gt;=$D367,AA$11&lt;=$E367),VLOOKUP($F367,$K$2:AO$8,AA$1,"Falsch"),"")</f>
        <v/>
      </c>
      <c r="AB367" s="16" t="str">
        <f>IF(AND(AB$10&gt;=$D367,AB$11&lt;=$E367),VLOOKUP($F367,$K$2:AP$8,AB$1,"Falsch"),"")</f>
        <v/>
      </c>
      <c r="AC367" s="16" t="str">
        <f>IF(AND(AC$10&gt;=$D367,AC$11&lt;=$E367),VLOOKUP($F367,$K$2:AQ$8,AC$1,"Falsch"),"")</f>
        <v/>
      </c>
      <c r="AD367" s="16" t="str">
        <f>IF(AND(AD$10&gt;=$D367,AD$11&lt;=$E367),VLOOKUP($F367,$K$2:AR$8,AD$1,"Falsch"),"")</f>
        <v/>
      </c>
    </row>
    <row r="368" spans="9:30" x14ac:dyDescent="0.25">
      <c r="I368" s="21">
        <f t="shared" si="41"/>
        <v>0</v>
      </c>
      <c r="K368" s="25">
        <f t="shared" si="40"/>
        <v>0</v>
      </c>
      <c r="L368" s="16" t="str">
        <f>IF(AND(L$10&gt;=$D368,L$11&lt;=$E368),VLOOKUP($F368,$K$2:Z$8,L$1,"Falsch"),"")</f>
        <v/>
      </c>
      <c r="M368" s="16" t="str">
        <f>IF(AND(M$10&gt;=$D368,M$11&lt;=$E368),VLOOKUP($F368,$K$2:AA$8,M$1,"Falsch"),"")</f>
        <v/>
      </c>
      <c r="N368" s="16" t="str">
        <f>IF(AND(N$10&gt;=$D368,N$11&lt;=$E368),VLOOKUP($F368,$K$2:AB$8,N$1,"Falsch"),"")</f>
        <v/>
      </c>
      <c r="O368" s="16" t="str">
        <f>IF(AND(O$10&gt;=$D368,O$11&lt;=$E368),VLOOKUP($F368,$K$2:AC$8,O$1,"Falsch"),"")</f>
        <v/>
      </c>
      <c r="P368" s="16" t="str">
        <f>IF(AND(P$10&gt;=$D368,P$11&lt;=$E368),VLOOKUP($F368,$K$2:AD$8,P$1,"Falsch"),"")</f>
        <v/>
      </c>
      <c r="Q368" s="16" t="str">
        <f>IF(AND(Q$10&gt;=$D368,Q$11&lt;=$E368),VLOOKUP($F368,$K$2:AE$8,Q$1,"Falsch"),"")</f>
        <v/>
      </c>
      <c r="R368" s="16" t="str">
        <f>IF(AND(R$10&gt;=$D368,R$11&lt;=$E368),VLOOKUP($F368,$K$2:AF$8,R$1,"Falsch"),"")</f>
        <v/>
      </c>
      <c r="S368" s="16" t="str">
        <f>IF(AND(S$10&gt;=$D368,S$11&lt;=$E368),VLOOKUP($F368,$K$2:AG$8,S$1,"Falsch"),"")</f>
        <v/>
      </c>
      <c r="T368" s="16" t="str">
        <f>IF(AND(T$10&gt;=$D368,T$11&lt;=$E368),VLOOKUP($F368,$K$2:AH$8,T$1,"Falsch"),"")</f>
        <v/>
      </c>
      <c r="U368" s="16" t="str">
        <f>IF(AND(U$10&gt;=$D368,U$11&lt;=$E368),VLOOKUP($F368,$K$2:AI$8,U$1,"Falsch"),"")</f>
        <v/>
      </c>
      <c r="V368" s="16" t="str">
        <f>IF(AND(V$10&gt;=$D368,V$11&lt;=$E368),VLOOKUP($F368,$K$2:AJ$8,V$1,"Falsch"),"")</f>
        <v/>
      </c>
      <c r="W368" s="16" t="str">
        <f>IF(AND(W$10&gt;=$D368,W$11&lt;=$E368),VLOOKUP($F368,$K$2:AK$8,W$1,"Falsch"),"")</f>
        <v/>
      </c>
      <c r="X368" s="16" t="str">
        <f>IF(AND(X$10&gt;=$D368,X$11&lt;=$E368),VLOOKUP($F368,$K$2:AL$8,X$1,"Falsch"),"")</f>
        <v/>
      </c>
      <c r="Y368" s="16" t="str">
        <f>IF(AND(Y$10&gt;=$D368,Y$11&lt;=$E368),VLOOKUP($F368,$K$2:AM$8,Y$1,"Falsch"),"")</f>
        <v/>
      </c>
      <c r="Z368" s="16" t="str">
        <f>IF(AND(Z$10&gt;=$D368,Z$11&lt;=$E368),VLOOKUP($F368,$K$2:AN$8,Z$1,"Falsch"),"")</f>
        <v/>
      </c>
      <c r="AA368" s="16" t="str">
        <f>IF(AND(AA$10&gt;=$D368,AA$11&lt;=$E368),VLOOKUP($F368,$K$2:AO$8,AA$1,"Falsch"),"")</f>
        <v/>
      </c>
      <c r="AB368" s="16" t="str">
        <f>IF(AND(AB$10&gt;=$D368,AB$11&lt;=$E368),VLOOKUP($F368,$K$2:AP$8,AB$1,"Falsch"),"")</f>
        <v/>
      </c>
      <c r="AC368" s="16" t="str">
        <f>IF(AND(AC$10&gt;=$D368,AC$11&lt;=$E368),VLOOKUP($F368,$K$2:AQ$8,AC$1,"Falsch"),"")</f>
        <v/>
      </c>
      <c r="AD368" s="16" t="str">
        <f>IF(AND(AD$10&gt;=$D368,AD$11&lt;=$E368),VLOOKUP($F368,$K$2:AR$8,AD$1,"Falsch"),"")</f>
        <v/>
      </c>
    </row>
  </sheetData>
  <phoneticPr fontId="3" type="noConversion"/>
  <conditionalFormatting sqref="D10:D11">
    <cfRule type="cellIs" dxfId="7" priority="6" stopIfTrue="1" operator="lessThan">
      <formula>$L$10</formula>
    </cfRule>
  </conditionalFormatting>
  <conditionalFormatting sqref="D12:D17">
    <cfRule type="cellIs" dxfId="6" priority="7" stopIfTrue="1" operator="lessThan">
      <formula>$J$16</formula>
    </cfRule>
  </conditionalFormatting>
  <conditionalFormatting sqref="E12:E17">
    <cfRule type="cellIs" dxfId="5" priority="8" stopIfTrue="1" operator="greaterThan">
      <formula>#REF!</formula>
    </cfRule>
  </conditionalFormatting>
  <conditionalFormatting sqref="L12:AD368">
    <cfRule type="expression" dxfId="4" priority="9" stopIfTrue="1">
      <formula>"I$13&gt;=$D15;I$14&lt;=$E15"</formula>
    </cfRule>
  </conditionalFormatting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>
    <oddHeader>&amp;R&amp;G</oddHeader>
    <oddFooter>&amp;L&amp;8SR Hotel-Vorlage_F_V01_20120125.xls&amp;R&amp;8Seite &amp;P von 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samtsummen_erstellen">
                <anchor moveWithCells="1" sizeWithCells="1">
                  <from>
                    <xdr:col>1</xdr:col>
                    <xdr:colOff>57150</xdr:colOff>
                    <xdr:row>0</xdr:row>
                    <xdr:rowOff>133350</xdr:rowOff>
                  </from>
                  <to>
                    <xdr:col>3</xdr:col>
                    <xdr:colOff>641350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5">
    <pageSetUpPr fitToPage="1"/>
  </sheetPr>
  <dimension ref="A1:G37"/>
  <sheetViews>
    <sheetView workbookViewId="0">
      <selection activeCell="H26" sqref="H26"/>
    </sheetView>
  </sheetViews>
  <sheetFormatPr baseColWidth="10" defaultColWidth="11.453125" defaultRowHeight="12.5" x14ac:dyDescent="0.25"/>
  <cols>
    <col min="1" max="1" width="11.453125" style="86"/>
    <col min="2" max="7" width="11.453125" style="84"/>
    <col min="8" max="16384" width="11.453125" style="85"/>
  </cols>
  <sheetData>
    <row r="1" spans="1:2" ht="15.5" x14ac:dyDescent="0.35">
      <c r="A1" s="83"/>
    </row>
    <row r="2" spans="1:2" ht="14.5" x14ac:dyDescent="0.35">
      <c r="A2" s="77"/>
      <c r="B2" s="78"/>
    </row>
    <row r="3" spans="1:2" ht="14.5" x14ac:dyDescent="0.35">
      <c r="A3" s="77"/>
      <c r="B3" s="78"/>
    </row>
    <row r="4" spans="1:2" ht="14.5" x14ac:dyDescent="0.35">
      <c r="A4" s="77"/>
      <c r="B4" s="78"/>
    </row>
    <row r="5" spans="1:2" ht="14.5" x14ac:dyDescent="0.35">
      <c r="A5" s="77"/>
      <c r="B5" s="78"/>
    </row>
    <row r="6" spans="1:2" ht="14.5" x14ac:dyDescent="0.35">
      <c r="A6" s="77"/>
      <c r="B6" s="78"/>
    </row>
    <row r="7" spans="1:2" ht="14.5" x14ac:dyDescent="0.35">
      <c r="A7" s="77"/>
      <c r="B7" s="78"/>
    </row>
    <row r="8" spans="1:2" ht="14.5" x14ac:dyDescent="0.35">
      <c r="A8" s="77"/>
      <c r="B8" s="78"/>
    </row>
    <row r="9" spans="1:2" ht="14.5" x14ac:dyDescent="0.35">
      <c r="A9" s="77"/>
      <c r="B9" s="78"/>
    </row>
    <row r="10" spans="1:2" ht="14.5" x14ac:dyDescent="0.35">
      <c r="A10" s="77"/>
      <c r="B10" s="78"/>
    </row>
    <row r="11" spans="1:2" ht="14.5" x14ac:dyDescent="0.35">
      <c r="A11" s="77"/>
      <c r="B11" s="78"/>
    </row>
    <row r="12" spans="1:2" ht="14.5" x14ac:dyDescent="0.35">
      <c r="A12" s="77"/>
      <c r="B12" s="78"/>
    </row>
    <row r="13" spans="1:2" ht="14.5" x14ac:dyDescent="0.35">
      <c r="A13" s="77"/>
      <c r="B13" s="78"/>
    </row>
    <row r="14" spans="1:2" ht="14.5" x14ac:dyDescent="0.35">
      <c r="A14" s="77"/>
      <c r="B14" s="78"/>
    </row>
    <row r="15" spans="1:2" ht="14.5" x14ac:dyDescent="0.35">
      <c r="A15" s="77"/>
      <c r="B15" s="78"/>
    </row>
    <row r="16" spans="1:2" ht="14.5" x14ac:dyDescent="0.35">
      <c r="A16" s="77"/>
      <c r="B16" s="78"/>
    </row>
    <row r="17" spans="1:2" ht="14.5" x14ac:dyDescent="0.35">
      <c r="A17" s="77"/>
      <c r="B17" s="78"/>
    </row>
    <row r="18" spans="1:2" ht="14.5" x14ac:dyDescent="0.35">
      <c r="A18" s="77"/>
      <c r="B18" s="78"/>
    </row>
    <row r="19" spans="1:2" ht="14.5" x14ac:dyDescent="0.35">
      <c r="A19" s="77"/>
      <c r="B19" s="78"/>
    </row>
    <row r="20" spans="1:2" ht="14.5" x14ac:dyDescent="0.35">
      <c r="A20" s="77"/>
      <c r="B20" s="78"/>
    </row>
    <row r="21" spans="1:2" ht="14.5" x14ac:dyDescent="0.35">
      <c r="A21" s="77"/>
      <c r="B21" s="78"/>
    </row>
    <row r="22" spans="1:2" ht="14.5" x14ac:dyDescent="0.35">
      <c r="A22" s="77"/>
      <c r="B22" s="78"/>
    </row>
    <row r="23" spans="1:2" ht="14.5" x14ac:dyDescent="0.35">
      <c r="A23" s="77"/>
      <c r="B23" s="78"/>
    </row>
    <row r="24" spans="1:2" ht="14.5" x14ac:dyDescent="0.35">
      <c r="A24" s="77"/>
      <c r="B24" s="78"/>
    </row>
    <row r="25" spans="1:2" ht="14.5" x14ac:dyDescent="0.35">
      <c r="A25" s="77"/>
      <c r="B25" s="78"/>
    </row>
    <row r="26" spans="1:2" ht="14.5" x14ac:dyDescent="0.35">
      <c r="A26" s="77"/>
      <c r="B26" s="78"/>
    </row>
    <row r="27" spans="1:2" ht="14.5" x14ac:dyDescent="0.35">
      <c r="A27" s="77"/>
      <c r="B27" s="78"/>
    </row>
    <row r="28" spans="1:2" ht="14.5" x14ac:dyDescent="0.35">
      <c r="A28" s="77"/>
      <c r="B28" s="78"/>
    </row>
    <row r="29" spans="1:2" ht="14.5" x14ac:dyDescent="0.35">
      <c r="A29" s="77"/>
      <c r="B29" s="78"/>
    </row>
    <row r="30" spans="1:2" ht="14.5" x14ac:dyDescent="0.35">
      <c r="A30" s="77"/>
      <c r="B30" s="78"/>
    </row>
    <row r="31" spans="1:2" ht="14.5" x14ac:dyDescent="0.35">
      <c r="A31" s="77"/>
      <c r="B31" s="78"/>
    </row>
    <row r="32" spans="1:2" ht="14.5" x14ac:dyDescent="0.35">
      <c r="A32" s="77"/>
      <c r="B32" s="78"/>
    </row>
    <row r="33" spans="1:2" ht="14.5" x14ac:dyDescent="0.35">
      <c r="A33" s="77"/>
      <c r="B33" s="78"/>
    </row>
    <row r="34" spans="1:2" ht="14.5" x14ac:dyDescent="0.35">
      <c r="A34" s="77"/>
      <c r="B34" s="78"/>
    </row>
    <row r="35" spans="1:2" ht="14.5" x14ac:dyDescent="0.35">
      <c r="A35" s="77"/>
      <c r="B35" s="78"/>
    </row>
    <row r="36" spans="1:2" ht="14.5" x14ac:dyDescent="0.35">
      <c r="A36" s="77"/>
      <c r="B36" s="78"/>
    </row>
    <row r="37" spans="1:2" ht="14.5" x14ac:dyDescent="0.35">
      <c r="A37" s="77"/>
      <c r="B37" s="78"/>
    </row>
  </sheetData>
  <pageMargins left="0.70866141732283472" right="0.70866141732283472" top="1.35" bottom="0.78740157480314965" header="0.31496062992125984" footer="0.31496062992125984"/>
  <pageSetup paperSize="9" fitToHeight="0" orientation="landscape" r:id="rId1"/>
  <headerFooter>
    <oddHeader>&amp;R&amp;G</oddHeader>
    <oddFooter>&amp;L&amp;F&amp;R&amp;D | &amp;N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3"/>
  <dimension ref="A1:B35"/>
  <sheetViews>
    <sheetView workbookViewId="0">
      <selection activeCell="B15" sqref="B15:B20"/>
    </sheetView>
  </sheetViews>
  <sheetFormatPr baseColWidth="10" defaultColWidth="11.54296875" defaultRowHeight="11.5" x14ac:dyDescent="0.25"/>
  <cols>
    <col min="1" max="1" width="3" style="40" bestFit="1" customWidth="1"/>
    <col min="2" max="2" width="93" style="41" bestFit="1" customWidth="1"/>
    <col min="3" max="16384" width="11.54296875" style="40"/>
  </cols>
  <sheetData>
    <row r="1" spans="1:2" x14ac:dyDescent="0.25">
      <c r="A1" s="43" t="s">
        <v>17</v>
      </c>
      <c r="B1" s="39" t="s">
        <v>18</v>
      </c>
    </row>
    <row r="2" spans="1:2" ht="23" x14ac:dyDescent="0.25">
      <c r="A2" s="40" t="s">
        <v>35</v>
      </c>
      <c r="B2" s="34" t="s">
        <v>54</v>
      </c>
    </row>
    <row r="3" spans="1:2" ht="12.5" x14ac:dyDescent="0.25">
      <c r="A3" s="40" t="s">
        <v>36</v>
      </c>
      <c r="B3" s="44" t="s">
        <v>16</v>
      </c>
    </row>
    <row r="4" spans="1:2" x14ac:dyDescent="0.25">
      <c r="A4" s="40" t="s">
        <v>37</v>
      </c>
      <c r="B4" s="34" t="s">
        <v>55</v>
      </c>
    </row>
    <row r="5" spans="1:2" x14ac:dyDescent="0.25">
      <c r="A5" s="40" t="s">
        <v>38</v>
      </c>
      <c r="B5" s="40" t="s">
        <v>56</v>
      </c>
    </row>
    <row r="6" spans="1:2" x14ac:dyDescent="0.25">
      <c r="A6" s="40" t="s">
        <v>39</v>
      </c>
      <c r="B6" s="34" t="s">
        <v>57</v>
      </c>
    </row>
    <row r="7" spans="1:2" x14ac:dyDescent="0.25">
      <c r="A7" s="40" t="s">
        <v>40</v>
      </c>
      <c r="B7" s="34" t="s">
        <v>58</v>
      </c>
    </row>
    <row r="8" spans="1:2" x14ac:dyDescent="0.25">
      <c r="A8" s="40" t="s">
        <v>41</v>
      </c>
      <c r="B8" s="34" t="s">
        <v>59</v>
      </c>
    </row>
    <row r="9" spans="1:2" x14ac:dyDescent="0.25">
      <c r="A9" s="40" t="s">
        <v>42</v>
      </c>
      <c r="B9" s="34" t="s">
        <v>60</v>
      </c>
    </row>
    <row r="10" spans="1:2" x14ac:dyDescent="0.25">
      <c r="A10" s="40" t="s">
        <v>43</v>
      </c>
      <c r="B10" s="34" t="s">
        <v>19</v>
      </c>
    </row>
    <row r="11" spans="1:2" x14ac:dyDescent="0.25">
      <c r="A11" s="40" t="s">
        <v>44</v>
      </c>
      <c r="B11" s="34" t="s">
        <v>61</v>
      </c>
    </row>
    <row r="12" spans="1:2" x14ac:dyDescent="0.25">
      <c r="A12" s="40" t="s">
        <v>45</v>
      </c>
      <c r="B12" s="34" t="s">
        <v>62</v>
      </c>
    </row>
    <row r="14" spans="1:2" x14ac:dyDescent="0.25">
      <c r="A14" s="39" t="s">
        <v>46</v>
      </c>
      <c r="B14" s="39" t="s">
        <v>47</v>
      </c>
    </row>
    <row r="15" spans="1:2" x14ac:dyDescent="0.25">
      <c r="A15" s="40" t="s">
        <v>35</v>
      </c>
      <c r="B15" s="42" t="s">
        <v>20</v>
      </c>
    </row>
    <row r="16" spans="1:2" x14ac:dyDescent="0.25">
      <c r="A16" s="40" t="s">
        <v>36</v>
      </c>
      <c r="B16" s="42" t="s">
        <v>21</v>
      </c>
    </row>
    <row r="17" spans="1:2" ht="23" x14ac:dyDescent="0.25">
      <c r="A17" s="40" t="s">
        <v>37</v>
      </c>
      <c r="B17" s="42" t="s">
        <v>22</v>
      </c>
    </row>
    <row r="18" spans="1:2" ht="23" x14ac:dyDescent="0.25">
      <c r="A18" s="40" t="s">
        <v>38</v>
      </c>
      <c r="B18" s="42" t="s">
        <v>23</v>
      </c>
    </row>
    <row r="19" spans="1:2" x14ac:dyDescent="0.25">
      <c r="A19" s="40" t="s">
        <v>39</v>
      </c>
      <c r="B19" s="42" t="s">
        <v>24</v>
      </c>
    </row>
    <row r="20" spans="1:2" x14ac:dyDescent="0.25">
      <c r="A20" s="40" t="s">
        <v>40</v>
      </c>
      <c r="B20" s="42" t="s">
        <v>25</v>
      </c>
    </row>
    <row r="22" spans="1:2" x14ac:dyDescent="0.25">
      <c r="A22" s="39" t="s">
        <v>48</v>
      </c>
      <c r="B22" s="39" t="s">
        <v>49</v>
      </c>
    </row>
    <row r="23" spans="1:2" x14ac:dyDescent="0.25">
      <c r="A23" s="40" t="s">
        <v>35</v>
      </c>
      <c r="B23" s="41" t="s">
        <v>26</v>
      </c>
    </row>
    <row r="24" spans="1:2" x14ac:dyDescent="0.25">
      <c r="A24" s="40" t="s">
        <v>36</v>
      </c>
      <c r="B24" s="41" t="s">
        <v>27</v>
      </c>
    </row>
    <row r="26" spans="1:2" x14ac:dyDescent="0.25">
      <c r="A26" s="39" t="s">
        <v>50</v>
      </c>
      <c r="B26" s="39" t="s">
        <v>53</v>
      </c>
    </row>
    <row r="27" spans="1:2" x14ac:dyDescent="0.25">
      <c r="A27" s="40" t="s">
        <v>35</v>
      </c>
      <c r="B27" s="41" t="s">
        <v>28</v>
      </c>
    </row>
    <row r="28" spans="1:2" x14ac:dyDescent="0.25">
      <c r="A28" s="40" t="s">
        <v>36</v>
      </c>
      <c r="B28" s="41" t="s">
        <v>29</v>
      </c>
    </row>
    <row r="29" spans="1:2" ht="23" x14ac:dyDescent="0.25">
      <c r="A29" s="40" t="s">
        <v>37</v>
      </c>
      <c r="B29" s="41" t="s">
        <v>30</v>
      </c>
    </row>
    <row r="31" spans="1:2" x14ac:dyDescent="0.25">
      <c r="A31" s="39" t="s">
        <v>51</v>
      </c>
      <c r="B31" s="39" t="s">
        <v>52</v>
      </c>
    </row>
    <row r="32" spans="1:2" x14ac:dyDescent="0.25">
      <c r="A32" s="40" t="s">
        <v>35</v>
      </c>
      <c r="B32" s="41" t="s">
        <v>31</v>
      </c>
    </row>
    <row r="33" spans="1:2" x14ac:dyDescent="0.25">
      <c r="A33" s="40" t="s">
        <v>36</v>
      </c>
      <c r="B33" s="41" t="s">
        <v>32</v>
      </c>
    </row>
    <row r="34" spans="1:2" ht="23" x14ac:dyDescent="0.25">
      <c r="A34" s="40" t="s">
        <v>37</v>
      </c>
      <c r="B34" s="41" t="s">
        <v>33</v>
      </c>
    </row>
    <row r="35" spans="1:2" x14ac:dyDescent="0.25">
      <c r="A35" s="40" t="s">
        <v>38</v>
      </c>
      <c r="B35" s="41" t="s">
        <v>34</v>
      </c>
    </row>
  </sheetData>
  <hyperlinks>
    <hyperlink ref="B3" r:id="rId1" location="/site/Abteilungsbergreifend/views/Schlussrechnungsprfung/Namensliste?:iid=5" xr:uid="{00000000-0004-0000-0400-000000000000}"/>
  </hyperlinks>
  <pageMargins left="0.7" right="0.7" top="0.78740157499999996" bottom="0.78740157499999996" header="0.3" footer="0.3"/>
  <pageSetup paperSize="9" orientation="portrait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4"/>
  <dimension ref="A1:A5"/>
  <sheetViews>
    <sheetView workbookViewId="0">
      <selection activeCell="G32" sqref="G32"/>
    </sheetView>
  </sheetViews>
  <sheetFormatPr baseColWidth="10" defaultRowHeight="12.5" x14ac:dyDescent="0.25"/>
  <sheetData>
    <row r="1" spans="1:1" x14ac:dyDescent="0.25">
      <c r="A1" s="87" t="s">
        <v>0</v>
      </c>
    </row>
    <row r="2" spans="1:1" x14ac:dyDescent="0.25">
      <c r="A2" s="87" t="s">
        <v>83</v>
      </c>
    </row>
    <row r="3" spans="1:1" x14ac:dyDescent="0.25">
      <c r="A3" s="87" t="s">
        <v>84</v>
      </c>
    </row>
    <row r="4" spans="1:1" x14ac:dyDescent="0.25">
      <c r="A4" s="87" t="s">
        <v>85</v>
      </c>
    </row>
    <row r="5" spans="1:1" x14ac:dyDescent="0.25">
      <c r="A5" s="87" t="s">
        <v>86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C64334A987B0C442854C903912DDD0A5" ma:contentTypeVersion="2" ma:contentTypeDescription="Ein neues Dokument erstellen." ma:contentTypeScope="" ma:versionID="6564cb033d8ad3811722597ffc5d317d">
  <xsd:schema xmlns:xsd="http://www.w3.org/2001/XMLSchema" xmlns:p="http://schemas.microsoft.com/office/2006/metadata/properties" xmlns:ns2="6e659f04-1231-4e56-abb4-87fc4cac18f5" targetNamespace="http://schemas.microsoft.com/office/2006/metadata/properties" ma:root="true" ma:fieldsID="5486ff22e353f5db3b63cc3b4414960d" ns2:_="">
    <xsd:import namespace="6e659f04-1231-4e56-abb4-87fc4cac18f5"/>
    <xsd:element name="properties">
      <xsd:complexType>
        <xsd:sequence>
          <xsd:element name="documentManagement">
            <xsd:complexType>
              <xsd:all>
                <xsd:element ref="ns2:Dokumenttyp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6e659f04-1231-4e56-abb4-87fc4cac18f5" elementFormDefault="qualified">
    <xsd:import namespace="http://schemas.microsoft.com/office/2006/documentManagement/types"/>
    <xsd:element name="Dokumenttyp" ma:index="8" nillable="true" ma:displayName="Dokumentart" ma:default="" ma:format="Dropdown" ma:internalName="Dokumenttyp">
      <xsd:simpleType>
        <xsd:restriction base="dms:Choice">
          <xsd:enumeration value="Arbeitsanweisung"/>
          <xsd:enumeration value="Dokument"/>
          <xsd:enumeration value="Formblatt"/>
          <xsd:enumeration value="Prozess"/>
          <xsd:enumeration value="Schulungsunterlage"/>
          <xsd:enumeration value="Verfahrensanweisung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 ma:readOnly="tru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okumenttyp xmlns="6e659f04-1231-4e56-abb4-87fc4cac18f5">Formblatt</Dokumenttyp>
  </documentManagement>
</p:properties>
</file>

<file path=customXml/item4.xml><?xml version="1.0" encoding="utf-8"?>
<LongProperties xmlns="http://schemas.microsoft.com/office/2006/metadata/longProperties"/>
</file>

<file path=customXml/itemProps1.xml><?xml version="1.0" encoding="utf-8"?>
<ds:datastoreItem xmlns:ds="http://schemas.openxmlformats.org/officeDocument/2006/customXml" ds:itemID="{3A43FFC1-F2D1-4516-947A-606DE9EC37C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e659f04-1231-4e56-abb4-87fc4cac18f5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94CC834B-DECF-4440-91C7-F2BC3A7A9EE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68D340B-36CD-4CBB-9400-96C15E147A35}">
  <ds:schemaRefs>
    <ds:schemaRef ds:uri="http://schemas.microsoft.com/office/2006/metadata/properties"/>
    <ds:schemaRef ds:uri="http://schemas.microsoft.com/office/infopath/2007/PartnerControls"/>
    <ds:schemaRef ds:uri="6e659f04-1231-4e56-abb4-87fc4cac18f5"/>
  </ds:schemaRefs>
</ds:datastoreItem>
</file>

<file path=customXml/itemProps4.xml><?xml version="1.0" encoding="utf-8"?>
<ds:datastoreItem xmlns:ds="http://schemas.openxmlformats.org/officeDocument/2006/customXml" ds:itemID="{3CAE2DDD-B260-44CE-9909-1EC89F0F3978}">
  <ds:schemaRefs>
    <ds:schemaRef ds:uri="http://schemas.microsoft.com/office/2006/metadata/long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3</vt:i4>
      </vt:variant>
    </vt:vector>
  </HeadingPairs>
  <TitlesOfParts>
    <vt:vector size="9" baseType="lpstr">
      <vt:lpstr>Buchungsbeleg</vt:lpstr>
      <vt:lpstr>Prüf</vt:lpstr>
      <vt:lpstr>SR Lt. AM</vt:lpstr>
      <vt:lpstr>Gesamt pro Res.</vt:lpstr>
      <vt:lpstr>Anleitungen</vt:lpstr>
      <vt:lpstr>Stammdaten für Auswahl</vt:lpstr>
      <vt:lpstr>Buchungsbeleg!Druckbereich</vt:lpstr>
      <vt:lpstr>Prüf!Drucktitel</vt:lpstr>
      <vt:lpstr>Firma</vt:lpstr>
    </vt:vector>
  </TitlesOfParts>
  <Company>TEST Berlin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SR Hotel-Vorlage_10 2023</dc:title>
  <dc:creator>mtreptow</dc:creator>
  <cp:lastModifiedBy>Natalia Radchuk</cp:lastModifiedBy>
  <cp:lastPrinted>2023-10-26T10:47:31Z</cp:lastPrinted>
  <dcterms:created xsi:type="dcterms:W3CDTF">2008-02-11T11:40:42Z</dcterms:created>
  <dcterms:modified xsi:type="dcterms:W3CDTF">2024-08-26T07:43:34Z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">
    <vt:lpwstr>Dokument</vt:lpwstr>
  </property>
  <property fmtid="{D5CDD505-2E9C-101B-9397-08002B2CF9AE}" pid="3" name="ContentTypeId">
    <vt:lpwstr>0x010100C64334A987B0C442854C903912DDD0A5</vt:lpwstr>
  </property>
</Properties>
</file>